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 Analysis" sheetId="1" r:id="rId5"/>
    <sheet state="visible" name="Cohort Analysis" sheetId="2" r:id="rId6"/>
    <sheet state="visible" name="3 Cohort Analysis" sheetId="3" r:id="rId7"/>
    <sheet state="visible" name="Yearly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</workbook>
</file>

<file path=xl/sharedStrings.xml><?xml version="1.0" encoding="utf-8"?>
<sst xmlns="http://schemas.openxmlformats.org/spreadsheetml/2006/main" count="119" uniqueCount="34">
  <si>
    <t>Decile</t>
  </si>
  <si>
    <t># Customers</t>
  </si>
  <si>
    <t>Total Transactions</t>
  </si>
  <si>
    <t>Revenue</t>
  </si>
  <si>
    <t>Profit</t>
  </si>
  <si>
    <t>Avg spend/cust</t>
  </si>
  <si>
    <t>Avg profit/cust</t>
  </si>
  <si>
    <t>AOF</t>
  </si>
  <si>
    <t>AOV</t>
  </si>
  <si>
    <t>Avg margin</t>
  </si>
  <si>
    <t>Quarter</t>
  </si>
  <si>
    <t>% active</t>
  </si>
  <si>
    <t>Avg spend/active customer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</si>
  <si>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</si>
  <si>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</si>
  <si>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</si>
  <si>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</si>
  <si>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</si>
  <si>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</si>
  <si>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</si>
  <si>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</si>
  <si>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</si>
  <si>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</si>
  <si>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</si>
  <si>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</si>
  <si>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</si>
  <si>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</si>
  <si>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</si>
  <si>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</si>
  <si>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</si>
  <si>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</si>
  <si>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</si>
  <si>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Pre-2021</t>
  </si>
  <si>
    <t>Table 4 Yearly summaries for all cohorts of customers, including those acquired before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</si>
</sst>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[$$-409]#,##0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Helvetica Neue"/>
    </font>
    <font>
      <b/>
      <sz val="11.0"/>
      <color rgb="FF000000"/>
      <name val="Calibri"/>
    </font>
    <font>
      <color rgb="FF000000"/>
      <name val="Arial"/>
      <scheme val="minor"/>
    </font>
    <font>
      <sz val="11.0"/>
      <color rgb="FF000000"/>
      <name val="Calibri"/>
    </font>
    <font>
      <sz val="11.0"/>
      <color rgb="FF000000"/>
      <name val="Helvetica Neue"/>
    </font>
    <font>
      <sz val="11.0"/>
      <color rgb="FFC00000"/>
      <name val="Calibri"/>
    </font>
    <font>
      <b/>
      <color theme="1"/>
      <name val="&quot;Calibri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theme="1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1" numFmtId="3" xfId="0" applyBorder="1" applyFont="1" applyNumberFormat="1"/>
    <xf borderId="1" fillId="2" fontId="1" numFmtId="4" xfId="0" applyBorder="1" applyFont="1" applyNumberFormat="1"/>
    <xf borderId="1" fillId="2" fontId="1" numFmtId="164" xfId="0" applyBorder="1" applyFont="1" applyNumberFormat="1"/>
    <xf borderId="1" fillId="2" fontId="1" numFmtId="165" xfId="0" applyBorder="1" applyFont="1" applyNumberFormat="1"/>
    <xf borderId="1" fillId="2" fontId="1" numFmtId="9" xfId="0" applyBorder="1" applyFont="1" applyNumberFormat="1"/>
    <xf borderId="1" fillId="2" fontId="1" numFmtId="0" xfId="0" applyBorder="1" applyFont="1"/>
    <xf borderId="0" fillId="0" fontId="1" numFmtId="0" xfId="0" applyAlignment="1" applyFont="1">
      <alignment horizontal="right"/>
    </xf>
    <xf borderId="0" fillId="0" fontId="1" numFmtId="9" xfId="0" applyFont="1" applyNumberFormat="1"/>
    <xf borderId="0" fillId="0" fontId="1" numFmtId="4" xfId="0" applyFont="1" applyNumberFormat="1"/>
    <xf borderId="0" fillId="0" fontId="1" numFmtId="164" xfId="0" applyFont="1" applyNumberFormat="1"/>
    <xf borderId="0" fillId="0" fontId="1" numFmtId="165" xfId="0" applyFont="1" applyNumberFormat="1"/>
    <xf borderId="2" fillId="0" fontId="1" numFmtId="0" xfId="0" applyAlignment="1" applyBorder="1" applyFont="1">
      <alignment horizontal="right"/>
    </xf>
    <xf borderId="2" fillId="0" fontId="1" numFmtId="9" xfId="0" applyBorder="1" applyFont="1" applyNumberFormat="1"/>
    <xf borderId="2" fillId="0" fontId="1" numFmtId="4" xfId="0" applyBorder="1" applyFont="1" applyNumberFormat="1"/>
    <xf borderId="2" fillId="0" fontId="1" numFmtId="164" xfId="0" applyBorder="1" applyFont="1" applyNumberFormat="1"/>
    <xf borderId="2" fillId="0" fontId="1" numFmtId="165" xfId="0" applyBorder="1" applyFont="1" applyNumberFormat="1"/>
    <xf borderId="1" fillId="2" fontId="1" numFmtId="0" xfId="0" applyAlignment="1" applyBorder="1" applyFont="1">
      <alignment horizontal="right" shrinkToFit="0" wrapText="1"/>
    </xf>
    <xf borderId="1" fillId="2" fontId="1" numFmtId="10" xfId="0" applyAlignment="1" applyBorder="1" applyFont="1" applyNumberFormat="1">
      <alignment horizontal="right" shrinkToFit="0" wrapText="1"/>
    </xf>
    <xf borderId="1" fillId="0" fontId="1" numFmtId="164" xfId="0" applyAlignment="1" applyBorder="1" applyFont="1" applyNumberFormat="1">
      <alignment horizontal="right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ont="1">
      <alignment horizontal="right" readingOrder="0"/>
    </xf>
    <xf borderId="1" fillId="2" fontId="2" numFmtId="10" xfId="0" applyBorder="1" applyFont="1" applyNumberFormat="1"/>
    <xf borderId="1" fillId="0" fontId="2" numFmtId="164" xfId="0" applyBorder="1" applyFont="1" applyNumberFormat="1"/>
    <xf borderId="0" fillId="0" fontId="1" numFmtId="0" xfId="0" applyAlignment="1" applyFont="1">
      <alignment horizontal="center"/>
    </xf>
    <xf borderId="0" fillId="0" fontId="2" numFmtId="10" xfId="0" applyFont="1" applyNumberForma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10" xfId="0" applyFont="1" applyNumberFormat="1"/>
    <xf borderId="0" fillId="0" fontId="4" numFmtId="0" xfId="0" applyAlignment="1" applyFont="1">
      <alignment horizontal="center" readingOrder="0"/>
    </xf>
    <xf borderId="0" fillId="0" fontId="5" numFmtId="0" xfId="0" applyFont="1"/>
    <xf borderId="0" fillId="0" fontId="5" numFmtId="4" xfId="0" applyFont="1" applyNumberFormat="1"/>
    <xf borderId="1" fillId="0" fontId="6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1" fillId="2" fontId="6" numFmtId="0" xfId="0" applyAlignment="1" applyBorder="1" applyFont="1">
      <alignment horizontal="right" readingOrder="0"/>
    </xf>
    <xf borderId="1" fillId="2" fontId="6" numFmtId="3" xfId="0" applyBorder="1" applyFont="1" applyNumberFormat="1"/>
    <xf borderId="1" fillId="2" fontId="6" numFmtId="4" xfId="0" applyBorder="1" applyFont="1" applyNumberFormat="1"/>
    <xf borderId="1" fillId="0" fontId="6" numFmtId="9" xfId="0" applyBorder="1" applyFont="1" applyNumberFormat="1"/>
    <xf borderId="1" fillId="0" fontId="6" numFmtId="1" xfId="0" applyBorder="1" applyFont="1" applyNumberFormat="1"/>
    <xf borderId="1" fillId="0" fontId="6" numFmtId="164" xfId="0" applyBorder="1" applyFont="1" applyNumberFormat="1"/>
    <xf borderId="1" fillId="2" fontId="6" numFmtId="0" xfId="0" applyAlignment="1" applyBorder="1" applyFont="1">
      <alignment horizontal="right"/>
    </xf>
    <xf borderId="1" fillId="0" fontId="6" numFmtId="1" xfId="0" applyAlignment="1" applyBorder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0" xfId="0" applyFont="1"/>
    <xf borderId="0" fillId="0" fontId="6" numFmtId="0" xfId="0" applyAlignment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right" readingOrder="0"/>
    </xf>
    <xf borderId="3" fillId="2" fontId="8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1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6" fillId="2" fontId="1" numFmtId="0" xfId="0" applyAlignment="1" applyBorder="1" applyFont="1">
      <alignment horizontal="right" readingOrder="0"/>
    </xf>
    <xf borderId="9" fillId="2" fontId="1" numFmtId="3" xfId="0" applyBorder="1" applyFont="1" applyNumberFormat="1"/>
    <xf borderId="10" fillId="2" fontId="1" numFmtId="3" xfId="0" applyBorder="1" applyFont="1" applyNumberFormat="1"/>
    <xf borderId="6" fillId="2" fontId="1" numFmtId="0" xfId="0" applyAlignment="1" applyBorder="1" applyFont="1">
      <alignment readingOrder="0"/>
    </xf>
    <xf borderId="9" fillId="2" fontId="1" numFmtId="0" xfId="0" applyBorder="1" applyFont="1"/>
    <xf borderId="10" fillId="2" fontId="1" numFmtId="0" xfId="0" applyBorder="1" applyFont="1"/>
    <xf borderId="6" fillId="2" fontId="8" numFmtId="0" xfId="0" applyBorder="1" applyFont="1"/>
    <xf borderId="11" fillId="2" fontId="1" numFmtId="0" xfId="0" applyAlignment="1" applyBorder="1" applyFont="1">
      <alignment readingOrder="0"/>
    </xf>
    <xf borderId="12" fillId="2" fontId="1" numFmtId="3" xfId="0" applyBorder="1" applyFont="1" applyNumberFormat="1"/>
    <xf borderId="13" fillId="2" fontId="1" numFmtId="3" xfId="0" applyBorder="1" applyFont="1" applyNumberForma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Analysis'!$B$2:$B$11</c:f>
              <c:numCache/>
            </c:numRef>
          </c:val>
        </c:ser>
        <c:axId val="1713006723"/>
        <c:axId val="740889687"/>
      </c:barChart>
      <c:catAx>
        <c:axId val="17130067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889687"/>
      </c:catAx>
      <c:valAx>
        <c:axId val="740889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Customers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006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Transactions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Analysis'!$C$2:$C$11</c:f>
              <c:numCache/>
            </c:numRef>
          </c:val>
        </c:ser>
        <c:axId val="584365971"/>
        <c:axId val="1739377980"/>
      </c:barChart>
      <c:catAx>
        <c:axId val="584365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377980"/>
      </c:catAx>
      <c:valAx>
        <c:axId val="1739377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43659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Analysis'!$D$2:$D$11</c:f>
              <c:numCache/>
            </c:numRef>
          </c:val>
        </c:ser>
        <c:axId val="1212562687"/>
        <c:axId val="1415434073"/>
      </c:barChart>
      <c:catAx>
        <c:axId val="1212562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434073"/>
      </c:catAx>
      <c:valAx>
        <c:axId val="1415434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5626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Analysis'!$E$2:$E$11</c:f>
              <c:numCache/>
            </c:numRef>
          </c:val>
        </c:ser>
        <c:axId val="230088152"/>
        <c:axId val="2075238875"/>
      </c:barChart>
      <c:catAx>
        <c:axId val="230088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5238875"/>
      </c:catAx>
      <c:valAx>
        <c:axId val="2075238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088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spend/cust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Analysis'!$F$2:$F$11</c:f>
              <c:numCache/>
            </c:numRef>
          </c:val>
        </c:ser>
        <c:axId val="902250094"/>
        <c:axId val="318372747"/>
      </c:barChart>
      <c:catAx>
        <c:axId val="902250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372747"/>
      </c:catAx>
      <c:valAx>
        <c:axId val="318372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spend/cust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2500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AOF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Analysis'!$H$2:$H$11</c:f>
              <c:numCache/>
            </c:numRef>
          </c:val>
        </c:ser>
        <c:axId val="1011943205"/>
        <c:axId val="1458424958"/>
      </c:barChart>
      <c:catAx>
        <c:axId val="10119432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8424958"/>
      </c:catAx>
      <c:valAx>
        <c:axId val="14584249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19432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Decile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'Decile Analysis'!$I$1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'Decile Analysis'!$A$2:$A$11</c:f>
            </c:strRef>
          </c:cat>
          <c:val>
            <c:numRef>
              <c:f>'Decile Analysis'!$I$2:$I$11</c:f>
              <c:numCache/>
            </c:numRef>
          </c:val>
        </c:ser>
        <c:axId val="1277207427"/>
        <c:axId val="1370434163"/>
      </c:barChart>
      <c:catAx>
        <c:axId val="12772074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434163"/>
      </c:catAx>
      <c:valAx>
        <c:axId val="1370434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72074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active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Analysis'!$F$2:$F$17</c:f>
              <c:numCache/>
            </c:numRef>
          </c:val>
          <c:smooth val="0"/>
        </c:ser>
        <c:axId val="782768867"/>
        <c:axId val="2092976749"/>
      </c:lineChart>
      <c:catAx>
        <c:axId val="782768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976749"/>
      </c:catAx>
      <c:valAx>
        <c:axId val="2092976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7688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 spend/active customer vs. Quarter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'Cohort Analysis'!$G$1</c:f>
            </c:strRef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'Cohort Analysis'!$A$2:$A$17</c:f>
            </c:strRef>
          </c:cat>
          <c:val>
            <c:numRef>
              <c:f>'Cohort Analysis'!$G$2:$G$17</c:f>
              <c:numCache/>
            </c:numRef>
          </c:val>
        </c:ser>
        <c:axId val="61709098"/>
        <c:axId val="473082329"/>
      </c:barChart>
      <c:catAx>
        <c:axId val="61709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3082329"/>
      </c:catAx>
      <c:valAx>
        <c:axId val="473082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7090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AOV vs. Quarter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'Cohort Analysis'!$I$1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'Cohort Analysis'!$A$2:$A$17</c:f>
            </c:strRef>
          </c:cat>
          <c:val>
            <c:numRef>
              <c:f>'Cohort Analysis'!$I$2:$I$17</c:f>
              <c:numCache/>
            </c:numRef>
          </c:val>
          <c:smooth val="0"/>
        </c:ser>
        <c:axId val="2038294700"/>
        <c:axId val="1229007150"/>
      </c:lineChart>
      <c:catAx>
        <c:axId val="20382947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9007150"/>
      </c:catAx>
      <c:valAx>
        <c:axId val="1229007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2947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Analysis'!$B$22:$B$35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Analysis'!$C$22:$C$35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Analysis'!$D$22:$D$35</c:f>
              <c:numCache/>
            </c:numRef>
          </c:val>
          <c:smooth val="0"/>
        </c:ser>
        <c:axId val="1894618207"/>
        <c:axId val="2006189979"/>
      </c:lineChart>
      <c:catAx>
        <c:axId val="1894618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06189979"/>
      </c:catAx>
      <c:valAx>
        <c:axId val="200618997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% Active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4618207"/>
        <c:majorUnit val="0.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Analysis'!$E$22:$E$35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Analysis'!$F$22:$F$35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Analysis'!$G$22:$G$35</c:f>
              <c:numCache/>
            </c:numRef>
          </c:val>
          <c:smooth val="0"/>
        </c:ser>
        <c:axId val="916946112"/>
        <c:axId val="709178689"/>
      </c:lineChart>
      <c:catAx>
        <c:axId val="916946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9178689"/>
      </c:catAx>
      <c:valAx>
        <c:axId val="709178689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Avg spend/active customer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694611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Q3 2016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Analysis'!$H$22:$H$35</c:f>
              <c:numCache/>
            </c:numRef>
          </c:val>
          <c:smooth val="0"/>
        </c:ser>
        <c:ser>
          <c:idx val="1"/>
          <c:order val="1"/>
          <c:tx>
            <c:v>Q4 2016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Analysis'!$I$22:$I$35</c:f>
              <c:numCache/>
            </c:numRef>
          </c:val>
          <c:smooth val="0"/>
        </c:ser>
        <c:ser>
          <c:idx val="2"/>
          <c:order val="2"/>
          <c:tx>
            <c:v>Q4 2017</c:v>
          </c:tx>
          <c:spPr>
            <a:ln cmpd="sng" w="28575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'3 Cohort Analysis'!$A$22:$A$35</c:f>
            </c:strRef>
          </c:cat>
          <c:val>
            <c:numRef>
              <c:f>'3 Cohort Analysis'!$J$22:$J$35</c:f>
              <c:numCache/>
            </c:numRef>
          </c:val>
          <c:smooth val="0"/>
        </c:ser>
        <c:axId val="808778196"/>
        <c:axId val="1251955305"/>
      </c:lineChart>
      <c:catAx>
        <c:axId val="8087781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1955305"/>
      </c:catAx>
      <c:valAx>
        <c:axId val="12519553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AOV</a:t>
                </a:r>
              </a:p>
            </c:rich>
          </c:tx>
          <c:overlay val="0"/>
        </c:title>
        <c:numFmt formatCode="[$$-409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877819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Annual Profit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Summaries'!$B$11:$B$15</c:f>
              <c:numCache/>
            </c:numRef>
          </c:val>
          <c:smooth val="0"/>
        </c:ser>
        <c:ser>
          <c:idx val="1"/>
          <c:order val="1"/>
          <c:tx>
            <c:strRef>
              <c:f>'Yearly Summaries'!$C$10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Summaries'!$C$11:$C$15</c:f>
              <c:numCache/>
            </c:numRef>
          </c:val>
          <c:smooth val="0"/>
        </c:ser>
        <c:ser>
          <c:idx val="2"/>
          <c:order val="2"/>
          <c:tx>
            <c:strRef>
              <c:f>'Yearly Summaries'!$D$10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Summaries'!$D$11:$D$15</c:f>
              <c:numCache/>
            </c:numRef>
          </c:val>
          <c:smooth val="0"/>
        </c:ser>
        <c:ser>
          <c:idx val="3"/>
          <c:order val="3"/>
          <c:tx>
            <c:strRef>
              <c:f>'Yearly Summaries'!$E$10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Summaries'!$A$11:$A$15</c:f>
            </c:strRef>
          </c:cat>
          <c:val>
            <c:numRef>
              <c:f>'Yearly Summaries'!$E$11:$E$15</c:f>
              <c:numCache/>
            </c:numRef>
          </c:val>
          <c:smooth val="0"/>
        </c:ser>
        <c:axId val="1726559555"/>
        <c:axId val="2140819572"/>
      </c:lineChart>
      <c:catAx>
        <c:axId val="17265595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0819572"/>
      </c:catAx>
      <c:valAx>
        <c:axId val="2140819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65595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Customers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Summaries'!$B$18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Summaries'!$B$19:$B$23</c:f>
              <c:numCache/>
            </c:numRef>
          </c:val>
          <c:smooth val="0"/>
        </c:ser>
        <c:ser>
          <c:idx val="1"/>
          <c:order val="1"/>
          <c:tx>
            <c:strRef>
              <c:f>'Yearly Summaries'!$C$18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Summaries'!$C$19:$C$23</c:f>
              <c:numCache/>
            </c:numRef>
          </c:val>
          <c:smooth val="0"/>
        </c:ser>
        <c:ser>
          <c:idx val="2"/>
          <c:order val="2"/>
          <c:tx>
            <c:strRef>
              <c:f>'Yearly Summaries'!$D$18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Summaries'!$D$19:$D$23</c:f>
              <c:numCache/>
            </c:numRef>
          </c:val>
          <c:smooth val="0"/>
        </c:ser>
        <c:ser>
          <c:idx val="3"/>
          <c:order val="3"/>
          <c:tx>
            <c:strRef>
              <c:f>'Yearly Summaries'!$E$18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Summaries'!$A$19:$A$23</c:f>
            </c:strRef>
          </c:cat>
          <c:val>
            <c:numRef>
              <c:f>'Yearly Summaries'!$E$19:$E$23</c:f>
              <c:numCache/>
            </c:numRef>
          </c:val>
          <c:smooth val="0"/>
        </c:ser>
        <c:axId val="437880508"/>
        <c:axId val="88075289"/>
      </c:lineChart>
      <c:catAx>
        <c:axId val="437880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75289"/>
      </c:catAx>
      <c:valAx>
        <c:axId val="88075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7880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Yearly Customers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'Yearly Summaries'!$B$17:$B$19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'Yearly Summaries'!$A$20:$A$23</c:f>
            </c:strRef>
          </c:cat>
          <c:val>
            <c:numRef>
              <c:f>'Yearly Summaries'!$B$20:$B$23</c:f>
              <c:numCache/>
            </c:numRef>
          </c:val>
          <c:smooth val="0"/>
        </c:ser>
        <c:ser>
          <c:idx val="1"/>
          <c:order val="1"/>
          <c:tx>
            <c:strRef>
              <c:f>'Yearly Summaries'!$C$17:$C$19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'Yearly Summaries'!$A$20:$A$23</c:f>
            </c:strRef>
          </c:cat>
          <c:val>
            <c:numRef>
              <c:f>'Yearly Summaries'!$C$20:$C$23</c:f>
              <c:numCache/>
            </c:numRef>
          </c:val>
          <c:smooth val="0"/>
        </c:ser>
        <c:ser>
          <c:idx val="2"/>
          <c:order val="2"/>
          <c:tx>
            <c:strRef>
              <c:f>'Yearly Summaries'!$D$17:$D$19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'Yearly Summaries'!$A$20:$A$23</c:f>
            </c:strRef>
          </c:cat>
          <c:val>
            <c:numRef>
              <c:f>'Yearly Summaries'!$D$20:$D$23</c:f>
              <c:numCache/>
            </c:numRef>
          </c:val>
          <c:smooth val="0"/>
        </c:ser>
        <c:ser>
          <c:idx val="3"/>
          <c:order val="3"/>
          <c:tx>
            <c:strRef>
              <c:f>'Yearly Summaries'!$E$17:$E$19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'Yearly Summaries'!$A$20:$A$23</c:f>
            </c:strRef>
          </c:cat>
          <c:val>
            <c:numRef>
              <c:f>'Yearly Summaries'!$E$20:$E$23</c:f>
              <c:numCache/>
            </c:numRef>
          </c:val>
          <c:smooth val="0"/>
        </c:ser>
        <c:axId val="88625974"/>
        <c:axId val="1020105499"/>
      </c:lineChart>
      <c:catAx>
        <c:axId val="88625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0105499"/>
      </c:catAx>
      <c:valAx>
        <c:axId val="1020105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625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104775</xdr:rowOff>
    </xdr:from>
    <xdr:ext cx="4000500" cy="2476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1066800</xdr:colOff>
      <xdr:row>12</xdr:row>
      <xdr:rowOff>104775</xdr:rowOff>
    </xdr:from>
    <xdr:ext cx="3962400" cy="24765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19050</xdr:colOff>
      <xdr:row>28</xdr:row>
      <xdr:rowOff>161925</xdr:rowOff>
    </xdr:from>
    <xdr:ext cx="3962400" cy="24765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1066800</xdr:colOff>
      <xdr:row>28</xdr:row>
      <xdr:rowOff>161925</xdr:rowOff>
    </xdr:from>
    <xdr:ext cx="3962400" cy="2476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171450</xdr:rowOff>
    </xdr:from>
    <xdr:ext cx="3962400" cy="2552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1066800</xdr:colOff>
      <xdr:row>44</xdr:row>
      <xdr:rowOff>47625</xdr:rowOff>
    </xdr:from>
    <xdr:ext cx="4000500" cy="24765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59</xdr:row>
      <xdr:rowOff>76200</xdr:rowOff>
    </xdr:from>
    <xdr:ext cx="3962400" cy="24765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590550</xdr:colOff>
      <xdr:row>29</xdr:row>
      <xdr:rowOff>152400</xdr:rowOff>
    </xdr:from>
    <xdr:ext cx="4581525" cy="28384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561975</xdr:colOff>
      <xdr:row>13</xdr:row>
      <xdr:rowOff>200025</xdr:rowOff>
    </xdr:from>
    <xdr:ext cx="4581525" cy="30003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590550</xdr:colOff>
      <xdr:row>0</xdr:row>
      <xdr:rowOff>361950</xdr:rowOff>
    </xdr:from>
    <xdr:ext cx="4524375" cy="28003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219075</xdr:colOff>
      <xdr:row>20</xdr:row>
      <xdr:rowOff>142875</xdr:rowOff>
    </xdr:from>
    <xdr:ext cx="4638675" cy="26765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38100</xdr:colOff>
      <xdr:row>20</xdr:row>
      <xdr:rowOff>219075</xdr:rowOff>
    </xdr:from>
    <xdr:ext cx="4400550" cy="26765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0</xdr:colOff>
      <xdr:row>21</xdr:row>
      <xdr:rowOff>0</xdr:rowOff>
    </xdr:from>
    <xdr:ext cx="4352925" cy="26670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0</xdr:row>
      <xdr:rowOff>85725</xdr:rowOff>
    </xdr:from>
    <xdr:ext cx="4667250" cy="22479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200025</xdr:colOff>
      <xdr:row>0</xdr:row>
      <xdr:rowOff>85725</xdr:rowOff>
    </xdr:from>
    <xdr:ext cx="4352925" cy="22479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142875</xdr:colOff>
      <xdr:row>11</xdr:row>
      <xdr:rowOff>95250</xdr:rowOff>
    </xdr:from>
    <xdr:ext cx="4610100" cy="27336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13"/>
    <col customWidth="1" min="3" max="3" width="14.38"/>
    <col customWidth="1" min="4" max="4" width="11.5"/>
    <col customWidth="1" min="5" max="5" width="16.13"/>
    <col customWidth="1" min="6" max="6" width="12.13"/>
    <col customWidth="1" min="7" max="7" width="11.75"/>
    <col customWidth="1" min="8" max="9" width="7.75"/>
    <col customWidth="1" min="10" max="11" width="13.5"/>
    <col customWidth="1" min="12" max="28" width="7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>
        <v>1.0</v>
      </c>
      <c r="B2" s="2">
        <v>3180.0</v>
      </c>
      <c r="C2" s="2">
        <v>17503.0</v>
      </c>
      <c r="D2" s="2">
        <v>1.28952505E8</v>
      </c>
      <c r="E2" s="2">
        <v>6.2160175E7</v>
      </c>
      <c r="F2" s="3">
        <f t="shared" ref="F2:F12" si="2">D2/B2</f>
        <v>40551.1022</v>
      </c>
      <c r="G2" s="3">
        <f t="shared" ref="G2:G12" si="3">E2/B2</f>
        <v>19547.22484</v>
      </c>
      <c r="H2" s="4">
        <f t="shared" ref="H2:J2" si="1">C2/B2</f>
        <v>5.50408805</v>
      </c>
      <c r="I2" s="5">
        <f t="shared" si="1"/>
        <v>7367.45158</v>
      </c>
      <c r="J2" s="6">
        <f t="shared" si="1"/>
        <v>0.4820392981</v>
      </c>
    </row>
    <row r="3" ht="14.25" customHeight="1">
      <c r="A3" s="1">
        <v>2.0</v>
      </c>
      <c r="B3" s="2">
        <v>3180.0</v>
      </c>
      <c r="C3" s="2">
        <v>8703.0</v>
      </c>
      <c r="D3" s="2">
        <v>5.5542905E7</v>
      </c>
      <c r="E3" s="2">
        <v>2.707903E7</v>
      </c>
      <c r="F3" s="3">
        <f t="shared" si="2"/>
        <v>17466.32233</v>
      </c>
      <c r="G3" s="3">
        <f t="shared" si="3"/>
        <v>8515.418239</v>
      </c>
      <c r="H3" s="4">
        <f t="shared" ref="H3:J3" si="4">C3/B3</f>
        <v>2.736792453</v>
      </c>
      <c r="I3" s="5">
        <f t="shared" si="4"/>
        <v>6382.04125</v>
      </c>
      <c r="J3" s="6">
        <f t="shared" si="4"/>
        <v>0.4875335563</v>
      </c>
    </row>
    <row r="4" ht="14.25" customHeight="1">
      <c r="A4" s="1">
        <v>3.0</v>
      </c>
      <c r="B4" s="2">
        <v>3177.0</v>
      </c>
      <c r="C4" s="2">
        <v>6345.0</v>
      </c>
      <c r="D4" s="2">
        <v>3.8274225E7</v>
      </c>
      <c r="E4" s="2">
        <v>1.8722055E7</v>
      </c>
      <c r="F4" s="3">
        <f t="shared" si="2"/>
        <v>12047.28517</v>
      </c>
      <c r="G4" s="3">
        <f t="shared" si="3"/>
        <v>5892.998111</v>
      </c>
      <c r="H4" s="4">
        <f t="shared" ref="H4:J4" si="5">C4/B4</f>
        <v>1.997167139</v>
      </c>
      <c r="I4" s="5">
        <f t="shared" si="5"/>
        <v>6032.186761</v>
      </c>
      <c r="J4" s="6">
        <f t="shared" si="5"/>
        <v>0.4891556916</v>
      </c>
    </row>
    <row r="5" ht="14.25" customHeight="1">
      <c r="A5" s="1">
        <v>4.0</v>
      </c>
      <c r="B5" s="2">
        <v>3178.0</v>
      </c>
      <c r="C5" s="2">
        <v>5349.0</v>
      </c>
      <c r="D5" s="2">
        <v>2.901701E7</v>
      </c>
      <c r="E5" s="2">
        <v>1.3916595E7</v>
      </c>
      <c r="F5" s="3">
        <f t="shared" si="2"/>
        <v>9130.58842</v>
      </c>
      <c r="G5" s="3">
        <f t="shared" si="3"/>
        <v>4379.04185</v>
      </c>
      <c r="H5" s="4">
        <f t="shared" ref="H5:J5" si="6">C5/B5</f>
        <v>1.683134047</v>
      </c>
      <c r="I5" s="5">
        <f t="shared" si="6"/>
        <v>5424.75416</v>
      </c>
      <c r="J5" s="6">
        <f t="shared" si="6"/>
        <v>0.4796012753</v>
      </c>
    </row>
    <row r="6" ht="14.25" customHeight="1">
      <c r="A6" s="1">
        <v>5.0</v>
      </c>
      <c r="B6" s="2">
        <v>3183.0</v>
      </c>
      <c r="C6" s="2">
        <v>4683.0</v>
      </c>
      <c r="D6" s="2">
        <v>2.2555225E7</v>
      </c>
      <c r="E6" s="2">
        <v>1.0734405E7</v>
      </c>
      <c r="F6" s="3">
        <f t="shared" si="2"/>
        <v>7086.153</v>
      </c>
      <c r="G6" s="3">
        <f t="shared" si="3"/>
        <v>3372.417531</v>
      </c>
      <c r="H6" s="4">
        <f t="shared" ref="H6:J6" si="7">C6/B6</f>
        <v>1.471253534</v>
      </c>
      <c r="I6" s="5">
        <f t="shared" si="7"/>
        <v>4816.405082</v>
      </c>
      <c r="J6" s="6">
        <f t="shared" si="7"/>
        <v>0.4759165559</v>
      </c>
    </row>
    <row r="7" ht="14.25" customHeight="1">
      <c r="A7" s="1">
        <v>6.0</v>
      </c>
      <c r="B7" s="2">
        <v>3124.0</v>
      </c>
      <c r="C7" s="2">
        <v>4330.0</v>
      </c>
      <c r="D7" s="2">
        <v>1.7169955E7</v>
      </c>
      <c r="E7" s="2">
        <v>7948270.0</v>
      </c>
      <c r="F7" s="3">
        <f t="shared" si="2"/>
        <v>5496.144366</v>
      </c>
      <c r="G7" s="3">
        <f t="shared" si="3"/>
        <v>2544.260563</v>
      </c>
      <c r="H7" s="4">
        <f t="shared" ref="H7:J7" si="8">C7/B7</f>
        <v>1.386043534</v>
      </c>
      <c r="I7" s="5">
        <f t="shared" si="8"/>
        <v>3965.347575</v>
      </c>
      <c r="J7" s="6">
        <f t="shared" si="8"/>
        <v>0.462917346</v>
      </c>
    </row>
    <row r="8" ht="14.25" customHeight="1">
      <c r="A8" s="1">
        <v>7.0</v>
      </c>
      <c r="B8" s="2">
        <v>3233.0</v>
      </c>
      <c r="C8" s="2">
        <v>4004.0</v>
      </c>
      <c r="D8" s="2">
        <v>1.347071E7</v>
      </c>
      <c r="E8" s="2">
        <v>6240025.0</v>
      </c>
      <c r="F8" s="3">
        <f t="shared" si="2"/>
        <v>4166.628518</v>
      </c>
      <c r="G8" s="3">
        <f t="shared" si="3"/>
        <v>1930.103619</v>
      </c>
      <c r="H8" s="4">
        <f t="shared" ref="H8:J8" si="9">C8/B8</f>
        <v>1.238478194</v>
      </c>
      <c r="I8" s="5">
        <f t="shared" si="9"/>
        <v>3364.313187</v>
      </c>
      <c r="J8" s="6">
        <f t="shared" si="9"/>
        <v>0.4632291097</v>
      </c>
    </row>
    <row r="9" ht="14.25" customHeight="1">
      <c r="A9" s="1">
        <v>8.0</v>
      </c>
      <c r="B9" s="2">
        <v>2996.0</v>
      </c>
      <c r="C9" s="2">
        <v>3414.0</v>
      </c>
      <c r="D9" s="2">
        <v>9381075.0</v>
      </c>
      <c r="E9" s="2">
        <v>4326685.0</v>
      </c>
      <c r="F9" s="3">
        <f t="shared" si="2"/>
        <v>3131.199933</v>
      </c>
      <c r="G9" s="3">
        <f t="shared" si="3"/>
        <v>1444.153872</v>
      </c>
      <c r="H9" s="4">
        <f t="shared" ref="H9:J9" si="10">C9/B9</f>
        <v>1.139519359</v>
      </c>
      <c r="I9" s="5">
        <f t="shared" si="10"/>
        <v>2747.825132</v>
      </c>
      <c r="J9" s="6">
        <f t="shared" si="10"/>
        <v>0.4612141999</v>
      </c>
    </row>
    <row r="10" ht="14.25" customHeight="1">
      <c r="A10" s="1">
        <v>9.0</v>
      </c>
      <c r="B10" s="2">
        <v>3360.0</v>
      </c>
      <c r="C10" s="2">
        <v>3659.0</v>
      </c>
      <c r="D10" s="2">
        <v>7496500.0</v>
      </c>
      <c r="E10" s="2">
        <v>3334100.0</v>
      </c>
      <c r="F10" s="3">
        <f t="shared" si="2"/>
        <v>2231.10119</v>
      </c>
      <c r="G10" s="3">
        <f t="shared" si="3"/>
        <v>992.2916667</v>
      </c>
      <c r="H10" s="4">
        <f t="shared" ref="H10:J10" si="11">C10/B10</f>
        <v>1.088988095</v>
      </c>
      <c r="I10" s="5">
        <f t="shared" si="11"/>
        <v>2048.783821</v>
      </c>
      <c r="J10" s="6">
        <f t="shared" si="11"/>
        <v>0.4447542186</v>
      </c>
    </row>
    <row r="11" ht="14.25" customHeight="1">
      <c r="A11" s="1">
        <v>10.0</v>
      </c>
      <c r="B11" s="2">
        <v>3186.0</v>
      </c>
      <c r="C11" s="2">
        <v>3270.0</v>
      </c>
      <c r="D11" s="2">
        <v>3740550.0</v>
      </c>
      <c r="E11" s="2">
        <v>1554795.0</v>
      </c>
      <c r="F11" s="3">
        <f t="shared" si="2"/>
        <v>1174.05838</v>
      </c>
      <c r="G11" s="3">
        <f t="shared" si="3"/>
        <v>488.0084746</v>
      </c>
      <c r="H11" s="4">
        <f t="shared" ref="H11:J11" si="12">C11/B11</f>
        <v>1.026365348</v>
      </c>
      <c r="I11" s="5">
        <f t="shared" si="12"/>
        <v>1143.899083</v>
      </c>
      <c r="J11" s="6">
        <f t="shared" si="12"/>
        <v>0.4156594618</v>
      </c>
    </row>
    <row r="12" ht="14.25" customHeight="1">
      <c r="A12" s="7"/>
      <c r="B12" s="2">
        <v>31797.0</v>
      </c>
      <c r="C12" s="2">
        <v>61260.0</v>
      </c>
      <c r="D12" s="2">
        <v>3.2560066E8</v>
      </c>
      <c r="E12" s="2">
        <v>1.56016135E8</v>
      </c>
      <c r="F12" s="3">
        <f t="shared" si="2"/>
        <v>10239.9805</v>
      </c>
      <c r="G12" s="3">
        <f t="shared" si="3"/>
        <v>4906.630657</v>
      </c>
      <c r="H12" s="4">
        <f t="shared" ref="H12:J12" si="13">C12/B12</f>
        <v>1.926596849</v>
      </c>
      <c r="I12" s="5">
        <f t="shared" si="13"/>
        <v>5315.061378</v>
      </c>
      <c r="J12" s="6">
        <f t="shared" si="13"/>
        <v>0.4791640625</v>
      </c>
    </row>
    <row r="13" ht="14.25" customHeight="1"/>
    <row r="14" ht="14.25" customHeight="1"/>
    <row r="15" ht="14.25" customHeight="1">
      <c r="A15" s="8"/>
      <c r="B15" s="9"/>
      <c r="C15" s="9"/>
      <c r="D15" s="9"/>
      <c r="E15" s="9"/>
      <c r="F15" s="10"/>
      <c r="G15" s="10"/>
      <c r="H15" s="11"/>
      <c r="I15" s="12"/>
      <c r="J15" s="9"/>
    </row>
    <row r="16" ht="14.25" customHeight="1">
      <c r="A16" s="8"/>
      <c r="B16" s="9"/>
      <c r="C16" s="9"/>
      <c r="D16" s="9"/>
      <c r="E16" s="9"/>
      <c r="F16" s="10"/>
      <c r="G16" s="10"/>
      <c r="H16" s="11"/>
      <c r="I16" s="12"/>
      <c r="J16" s="9"/>
    </row>
    <row r="17" ht="14.25" customHeight="1">
      <c r="A17" s="8"/>
      <c r="B17" s="9"/>
      <c r="C17" s="9"/>
      <c r="D17" s="9"/>
      <c r="E17" s="9"/>
      <c r="F17" s="10"/>
      <c r="G17" s="10"/>
      <c r="H17" s="11"/>
      <c r="I17" s="12"/>
      <c r="J17" s="9"/>
    </row>
    <row r="18" ht="14.25" customHeight="1">
      <c r="A18" s="8"/>
      <c r="B18" s="9"/>
      <c r="C18" s="9"/>
      <c r="D18" s="9"/>
      <c r="E18" s="9"/>
      <c r="F18" s="10"/>
      <c r="G18" s="10"/>
      <c r="H18" s="11"/>
      <c r="I18" s="12"/>
      <c r="J18" s="9"/>
    </row>
    <row r="19" ht="14.25" customHeight="1">
      <c r="A19" s="8"/>
      <c r="B19" s="9"/>
      <c r="C19" s="9"/>
      <c r="D19" s="9"/>
      <c r="E19" s="9"/>
      <c r="F19" s="10"/>
      <c r="G19" s="10"/>
      <c r="H19" s="11"/>
      <c r="I19" s="12"/>
      <c r="J19" s="9"/>
    </row>
    <row r="20" ht="14.25" customHeight="1">
      <c r="A20" s="8"/>
      <c r="B20" s="9"/>
      <c r="C20" s="9"/>
      <c r="D20" s="9"/>
      <c r="E20" s="9"/>
      <c r="F20" s="10"/>
      <c r="G20" s="10"/>
      <c r="H20" s="11"/>
      <c r="I20" s="12"/>
      <c r="J20" s="9"/>
    </row>
    <row r="21" ht="14.25" customHeight="1">
      <c r="A21" s="8"/>
      <c r="B21" s="9"/>
      <c r="C21" s="9"/>
      <c r="D21" s="9"/>
      <c r="E21" s="9"/>
      <c r="F21" s="10"/>
      <c r="G21" s="10"/>
      <c r="H21" s="11"/>
      <c r="I21" s="12"/>
      <c r="J21" s="9"/>
    </row>
    <row r="22" ht="14.25" customHeight="1">
      <c r="A22" s="8"/>
      <c r="B22" s="9"/>
      <c r="C22" s="9"/>
      <c r="D22" s="9"/>
      <c r="E22" s="9"/>
      <c r="F22" s="10"/>
      <c r="G22" s="10"/>
      <c r="H22" s="11"/>
      <c r="I22" s="12"/>
      <c r="J22" s="9"/>
    </row>
    <row r="23" ht="14.25" customHeight="1">
      <c r="A23" s="13"/>
      <c r="B23" s="14"/>
      <c r="C23" s="14"/>
      <c r="D23" s="14"/>
      <c r="E23" s="14"/>
      <c r="F23" s="15"/>
      <c r="G23" s="15"/>
      <c r="H23" s="16"/>
      <c r="I23" s="17"/>
      <c r="J23" s="14"/>
    </row>
    <row r="24" ht="14.25" customHeight="1">
      <c r="F24" s="10"/>
      <c r="G24" s="10"/>
      <c r="H24" s="11"/>
      <c r="I24" s="12"/>
      <c r="J24" s="9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13.13"/>
    <col customWidth="1" min="6" max="6" width="9.13"/>
    <col customWidth="1" min="7" max="7" width="13.88"/>
    <col customWidth="1" min="8" max="8" width="6.5"/>
    <col customWidth="1" min="9" max="9" width="10.75"/>
    <col customWidth="1" min="10" max="10" width="14.75"/>
    <col customWidth="1" min="11" max="26" width="7.75"/>
  </cols>
  <sheetData>
    <row r="1" ht="14.25" customHeight="1">
      <c r="A1" s="18" t="s">
        <v>10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11</v>
      </c>
      <c r="G1" s="20" t="s">
        <v>12</v>
      </c>
      <c r="H1" s="20" t="s">
        <v>7</v>
      </c>
      <c r="I1" s="20" t="s">
        <v>8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4.25" customHeight="1">
      <c r="A2" s="22" t="s">
        <v>13</v>
      </c>
      <c r="B2" s="2">
        <v>2943.0</v>
      </c>
      <c r="C2" s="2">
        <v>3683.0</v>
      </c>
      <c r="D2" s="2">
        <v>2.180398E7</v>
      </c>
      <c r="E2" s="2">
        <v>1.0398135E7</v>
      </c>
      <c r="F2" s="23">
        <f t="shared" ref="F2:F17" si="2">B2/$B$2</f>
        <v>1</v>
      </c>
      <c r="G2" s="24">
        <f t="shared" ref="G2:G17" si="3">D2/B2</f>
        <v>7408.759769</v>
      </c>
      <c r="H2" s="24">
        <f t="shared" ref="H2:I2" si="1">C2/B2</f>
        <v>1.251444105</v>
      </c>
      <c r="I2" s="24">
        <f t="shared" si="1"/>
        <v>5920.168341</v>
      </c>
    </row>
    <row r="3" ht="14.25" customHeight="1">
      <c r="A3" s="22" t="s">
        <v>14</v>
      </c>
      <c r="B3" s="2">
        <v>346.0</v>
      </c>
      <c r="C3" s="2">
        <v>513.0</v>
      </c>
      <c r="D3" s="2">
        <v>2765015.0</v>
      </c>
      <c r="E3" s="2">
        <v>1386330.0</v>
      </c>
      <c r="F3" s="23">
        <f t="shared" si="2"/>
        <v>0.1175671084</v>
      </c>
      <c r="G3" s="24">
        <f t="shared" si="3"/>
        <v>7991.372832</v>
      </c>
      <c r="H3" s="24">
        <f t="shared" ref="H3:I3" si="4">C3/B3</f>
        <v>1.48265896</v>
      </c>
      <c r="I3" s="24">
        <f t="shared" si="4"/>
        <v>5389.892788</v>
      </c>
    </row>
    <row r="4" ht="14.25" customHeight="1">
      <c r="A4" s="22" t="s">
        <v>15</v>
      </c>
      <c r="B4" s="2">
        <v>313.0</v>
      </c>
      <c r="C4" s="2">
        <v>451.0</v>
      </c>
      <c r="D4" s="2">
        <v>2352130.0</v>
      </c>
      <c r="E4" s="2">
        <v>1173700.0</v>
      </c>
      <c r="F4" s="23">
        <f t="shared" si="2"/>
        <v>0.1063540605</v>
      </c>
      <c r="G4" s="24">
        <f t="shared" si="3"/>
        <v>7514.792332</v>
      </c>
      <c r="H4" s="24">
        <f t="shared" ref="H4:I4" si="5">C4/B4</f>
        <v>1.440894569</v>
      </c>
      <c r="I4" s="24">
        <f t="shared" si="5"/>
        <v>5215.365854</v>
      </c>
    </row>
    <row r="5" ht="14.25" customHeight="1">
      <c r="A5" s="22" t="s">
        <v>16</v>
      </c>
      <c r="B5" s="2">
        <v>485.0</v>
      </c>
      <c r="C5" s="2">
        <v>819.0</v>
      </c>
      <c r="D5" s="2">
        <v>4692930.0</v>
      </c>
      <c r="E5" s="2">
        <v>2335300.0</v>
      </c>
      <c r="F5" s="23">
        <f t="shared" si="2"/>
        <v>0.1647978253</v>
      </c>
      <c r="G5" s="24">
        <f t="shared" si="3"/>
        <v>9676.14433</v>
      </c>
      <c r="H5" s="24">
        <f t="shared" ref="H5:I5" si="6">C5/B5</f>
        <v>1.688659794</v>
      </c>
      <c r="I5" s="24">
        <f t="shared" si="6"/>
        <v>5730.07326</v>
      </c>
    </row>
    <row r="6" ht="14.25" customHeight="1">
      <c r="A6" s="22" t="s">
        <v>17</v>
      </c>
      <c r="B6" s="2">
        <v>296.0</v>
      </c>
      <c r="C6" s="2">
        <v>435.0</v>
      </c>
      <c r="D6" s="2">
        <v>2411530.0</v>
      </c>
      <c r="E6" s="2">
        <v>1161600.0</v>
      </c>
      <c r="F6" s="23">
        <f t="shared" si="2"/>
        <v>0.1005776419</v>
      </c>
      <c r="G6" s="24">
        <f t="shared" si="3"/>
        <v>8147.060811</v>
      </c>
      <c r="H6" s="24">
        <f t="shared" ref="H6:I6" si="7">C6/B6</f>
        <v>1.469594595</v>
      </c>
      <c r="I6" s="24">
        <f t="shared" si="7"/>
        <v>5543.747126</v>
      </c>
    </row>
    <row r="7" ht="14.25" customHeight="1">
      <c r="A7" s="22" t="s">
        <v>18</v>
      </c>
      <c r="B7" s="2">
        <v>286.0</v>
      </c>
      <c r="C7" s="2">
        <v>453.0</v>
      </c>
      <c r="D7" s="2">
        <v>2186470.0</v>
      </c>
      <c r="E7" s="2">
        <v>1074425.0</v>
      </c>
      <c r="F7" s="23">
        <f t="shared" si="2"/>
        <v>0.09717974856</v>
      </c>
      <c r="G7" s="24">
        <f t="shared" si="3"/>
        <v>7645</v>
      </c>
      <c r="H7" s="24">
        <f t="shared" ref="H7:I7" si="8">C7/B7</f>
        <v>1.583916084</v>
      </c>
      <c r="I7" s="24">
        <f t="shared" si="8"/>
        <v>4826.644592</v>
      </c>
    </row>
    <row r="8" ht="14.25" customHeight="1">
      <c r="A8" s="22" t="s">
        <v>19</v>
      </c>
      <c r="B8" s="2">
        <v>245.0</v>
      </c>
      <c r="C8" s="2">
        <v>396.0</v>
      </c>
      <c r="D8" s="2">
        <v>2040280.0</v>
      </c>
      <c r="E8" s="2">
        <v>988295.0</v>
      </c>
      <c r="F8" s="23">
        <f t="shared" si="2"/>
        <v>0.083248386</v>
      </c>
      <c r="G8" s="24">
        <f t="shared" si="3"/>
        <v>8327.673469</v>
      </c>
      <c r="H8" s="24">
        <f t="shared" ref="H8:I8" si="9">C8/B8</f>
        <v>1.616326531</v>
      </c>
      <c r="I8" s="24">
        <f t="shared" si="9"/>
        <v>5152.222222</v>
      </c>
    </row>
    <row r="9" ht="14.25" customHeight="1">
      <c r="A9" s="22" t="s">
        <v>20</v>
      </c>
      <c r="B9" s="2">
        <v>420.0</v>
      </c>
      <c r="C9" s="2">
        <v>808.0</v>
      </c>
      <c r="D9" s="2">
        <v>4619175.0</v>
      </c>
      <c r="E9" s="2">
        <v>2215950.0</v>
      </c>
      <c r="F9" s="23">
        <f t="shared" si="2"/>
        <v>0.1427115189</v>
      </c>
      <c r="G9" s="24">
        <f t="shared" si="3"/>
        <v>10998.03571</v>
      </c>
      <c r="H9" s="24">
        <f t="shared" ref="H9:I9" si="10">C9/B9</f>
        <v>1.923809524</v>
      </c>
      <c r="I9" s="24">
        <f t="shared" si="10"/>
        <v>5716.800743</v>
      </c>
    </row>
    <row r="10" ht="14.25" customHeight="1">
      <c r="A10" s="22" t="s">
        <v>21</v>
      </c>
      <c r="B10" s="2">
        <v>312.0</v>
      </c>
      <c r="C10" s="2">
        <v>481.0</v>
      </c>
      <c r="D10" s="2">
        <v>2391565.0</v>
      </c>
      <c r="E10" s="2">
        <v>1101815.0</v>
      </c>
      <c r="F10" s="23">
        <f t="shared" si="2"/>
        <v>0.1060142712</v>
      </c>
      <c r="G10" s="24">
        <f t="shared" si="3"/>
        <v>7665.272436</v>
      </c>
      <c r="H10" s="24">
        <f t="shared" ref="H10:I10" si="11">C10/B10</f>
        <v>1.541666667</v>
      </c>
      <c r="I10" s="24">
        <f t="shared" si="11"/>
        <v>4972.068607</v>
      </c>
    </row>
    <row r="11" ht="14.25" customHeight="1">
      <c r="A11" s="22" t="s">
        <v>22</v>
      </c>
      <c r="B11" s="2">
        <v>281.0</v>
      </c>
      <c r="C11" s="2">
        <v>462.0</v>
      </c>
      <c r="D11" s="2">
        <v>2061895.0</v>
      </c>
      <c r="E11" s="2">
        <v>960080.0</v>
      </c>
      <c r="F11" s="23">
        <f t="shared" si="2"/>
        <v>0.0954808019</v>
      </c>
      <c r="G11" s="24">
        <f t="shared" si="3"/>
        <v>7337.704626</v>
      </c>
      <c r="H11" s="24">
        <f t="shared" ref="H11:I11" si="12">C11/B11</f>
        <v>1.644128114</v>
      </c>
      <c r="I11" s="24">
        <f t="shared" si="12"/>
        <v>4462.97619</v>
      </c>
    </row>
    <row r="12" ht="14.25" customHeight="1">
      <c r="A12" s="22" t="s">
        <v>23</v>
      </c>
      <c r="B12" s="2">
        <v>220.0</v>
      </c>
      <c r="C12" s="2">
        <v>384.0</v>
      </c>
      <c r="D12" s="2">
        <v>1826220.0</v>
      </c>
      <c r="E12" s="2">
        <v>838310.0</v>
      </c>
      <c r="F12" s="23">
        <f t="shared" si="2"/>
        <v>0.07475365274</v>
      </c>
      <c r="G12" s="24">
        <f t="shared" si="3"/>
        <v>8301</v>
      </c>
      <c r="H12" s="24">
        <f t="shared" ref="H12:I12" si="13">C12/B12</f>
        <v>1.745454545</v>
      </c>
      <c r="I12" s="24">
        <f t="shared" si="13"/>
        <v>4755.78125</v>
      </c>
    </row>
    <row r="13" ht="14.25" customHeight="1">
      <c r="A13" s="22" t="s">
        <v>24</v>
      </c>
      <c r="B13" s="2">
        <v>358.0</v>
      </c>
      <c r="C13" s="2">
        <v>722.0</v>
      </c>
      <c r="D13" s="2">
        <v>3652880.0</v>
      </c>
      <c r="E13" s="2">
        <v>1726835.0</v>
      </c>
      <c r="F13" s="23">
        <f t="shared" si="2"/>
        <v>0.1216445804</v>
      </c>
      <c r="G13" s="24">
        <f t="shared" si="3"/>
        <v>10203.57542</v>
      </c>
      <c r="H13" s="24">
        <f t="shared" ref="H13:I13" si="14">C13/B13</f>
        <v>2.016759777</v>
      </c>
      <c r="I13" s="24">
        <f t="shared" si="14"/>
        <v>5059.390582</v>
      </c>
    </row>
    <row r="14" ht="14.25" customHeight="1">
      <c r="A14" s="22" t="s">
        <v>25</v>
      </c>
      <c r="B14" s="2">
        <v>244.0</v>
      </c>
      <c r="C14" s="2">
        <v>397.0</v>
      </c>
      <c r="D14" s="2">
        <v>1945185.0</v>
      </c>
      <c r="E14" s="2">
        <v>908215.0</v>
      </c>
      <c r="F14" s="23">
        <f t="shared" si="2"/>
        <v>0.08290859667</v>
      </c>
      <c r="G14" s="24">
        <f t="shared" si="3"/>
        <v>7972.069672</v>
      </c>
      <c r="H14" s="24">
        <f t="shared" ref="H14:I14" si="15">C14/B14</f>
        <v>1.62704918</v>
      </c>
      <c r="I14" s="24">
        <f t="shared" si="15"/>
        <v>4899.710327</v>
      </c>
    </row>
    <row r="15" ht="14.25" customHeight="1">
      <c r="A15" s="22" t="s">
        <v>26</v>
      </c>
      <c r="B15" s="2">
        <v>236.0</v>
      </c>
      <c r="C15" s="2">
        <v>390.0</v>
      </c>
      <c r="D15" s="2">
        <v>1882925.0</v>
      </c>
      <c r="E15" s="2">
        <v>884840.0</v>
      </c>
      <c r="F15" s="23">
        <f t="shared" si="2"/>
        <v>0.08019028203</v>
      </c>
      <c r="G15" s="24">
        <f t="shared" si="3"/>
        <v>7978.495763</v>
      </c>
      <c r="H15" s="24">
        <f t="shared" ref="H15:I15" si="16">C15/B15</f>
        <v>1.652542373</v>
      </c>
      <c r="I15" s="24">
        <f t="shared" si="16"/>
        <v>4828.012821</v>
      </c>
    </row>
    <row r="16" ht="14.25" customHeight="1">
      <c r="A16" s="22" t="s">
        <v>27</v>
      </c>
      <c r="B16" s="2">
        <v>201.0</v>
      </c>
      <c r="C16" s="2">
        <v>338.0</v>
      </c>
      <c r="D16" s="2">
        <v>1504580.0</v>
      </c>
      <c r="E16" s="2">
        <v>703560.0</v>
      </c>
      <c r="F16" s="23">
        <f t="shared" si="2"/>
        <v>0.06829765545</v>
      </c>
      <c r="G16" s="24">
        <f t="shared" si="3"/>
        <v>7485.472637</v>
      </c>
      <c r="H16" s="24">
        <f t="shared" ref="H16:I16" si="17">C16/B16</f>
        <v>1.68159204</v>
      </c>
      <c r="I16" s="24">
        <f t="shared" si="17"/>
        <v>4451.420118</v>
      </c>
    </row>
    <row r="17" ht="14.25" customHeight="1">
      <c r="A17" s="22" t="s">
        <v>28</v>
      </c>
      <c r="B17" s="2">
        <v>353.0</v>
      </c>
      <c r="C17" s="2">
        <v>657.0</v>
      </c>
      <c r="D17" s="2">
        <v>3447070.0</v>
      </c>
      <c r="E17" s="2">
        <v>1627065.0</v>
      </c>
      <c r="F17" s="23">
        <f t="shared" si="2"/>
        <v>0.1199456337</v>
      </c>
      <c r="G17" s="24">
        <f t="shared" si="3"/>
        <v>9765.070822</v>
      </c>
      <c r="H17" s="24">
        <f t="shared" ref="H17:I17" si="18">C17/B17</f>
        <v>1.861189802</v>
      </c>
      <c r="I17" s="24">
        <f t="shared" si="18"/>
        <v>5246.681887</v>
      </c>
    </row>
    <row r="18" ht="14.25" customHeight="1">
      <c r="A18" s="25"/>
      <c r="F18" s="26"/>
    </row>
    <row r="19" ht="14.25" customHeight="1">
      <c r="A19" s="25"/>
      <c r="F19" s="26"/>
    </row>
    <row r="20" ht="14.25" customHeight="1">
      <c r="A20" s="25"/>
      <c r="F20" s="26"/>
    </row>
    <row r="21" ht="14.25" customHeight="1">
      <c r="A21" s="27"/>
      <c r="B21" s="28"/>
      <c r="C21" s="28"/>
      <c r="D21" s="28"/>
      <c r="E21" s="28"/>
      <c r="F21" s="29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4.25" customHeight="1">
      <c r="A22" s="25"/>
      <c r="F22" s="26"/>
    </row>
    <row r="23" ht="14.25" customHeight="1">
      <c r="A23" s="25"/>
      <c r="F23" s="26"/>
    </row>
    <row r="24" ht="14.25" customHeight="1">
      <c r="A24" s="25"/>
      <c r="F24" s="26"/>
    </row>
    <row r="25" ht="14.25" customHeight="1">
      <c r="A25" s="25"/>
      <c r="F25" s="26"/>
    </row>
    <row r="26" ht="14.25" customHeight="1">
      <c r="A26" s="25"/>
      <c r="F26" s="26"/>
    </row>
    <row r="27" ht="14.25" customHeight="1">
      <c r="A27" s="25"/>
      <c r="F27" s="26"/>
    </row>
    <row r="28" ht="14.25" customHeight="1">
      <c r="A28" s="25"/>
      <c r="F28" s="26"/>
    </row>
    <row r="29" ht="14.25" customHeight="1">
      <c r="A29" s="25"/>
      <c r="F29" s="26"/>
    </row>
    <row r="30" ht="14.25" customHeight="1">
      <c r="A30" s="25"/>
      <c r="F30" s="26"/>
    </row>
    <row r="31" ht="14.25" customHeight="1">
      <c r="A31" s="25"/>
      <c r="F31" s="26"/>
    </row>
    <row r="32" ht="14.25" customHeight="1">
      <c r="A32" s="25"/>
      <c r="F32" s="26"/>
    </row>
    <row r="33" ht="14.25" customHeight="1">
      <c r="A33" s="25"/>
      <c r="F33" s="26"/>
    </row>
    <row r="34" ht="14.25" customHeight="1">
      <c r="A34" s="25"/>
      <c r="F34" s="26"/>
    </row>
    <row r="35" ht="14.25" customHeight="1">
      <c r="A35" s="25"/>
      <c r="F35" s="26"/>
    </row>
    <row r="36" ht="14.25" customHeight="1">
      <c r="A36" s="25"/>
      <c r="F36" s="26"/>
    </row>
    <row r="37" ht="14.25" customHeight="1">
      <c r="A37" s="25"/>
      <c r="F37" s="26"/>
    </row>
    <row r="38" ht="14.25" customHeight="1">
      <c r="A38" s="25"/>
      <c r="F38" s="26"/>
    </row>
    <row r="39" ht="14.25" customHeight="1">
      <c r="A39" s="25"/>
      <c r="F39" s="26"/>
    </row>
    <row r="40" ht="14.25" customHeight="1">
      <c r="A40" s="25"/>
      <c r="F40" s="26"/>
    </row>
    <row r="41" ht="14.25" customHeight="1">
      <c r="A41" s="25"/>
      <c r="F41" s="26"/>
    </row>
    <row r="42" ht="14.25" customHeight="1">
      <c r="A42" s="25"/>
      <c r="F42" s="26"/>
    </row>
    <row r="43" ht="14.25" customHeight="1">
      <c r="A43" s="25"/>
      <c r="F43" s="26"/>
    </row>
    <row r="44" ht="14.25" customHeight="1">
      <c r="A44" s="25"/>
      <c r="F44" s="26"/>
    </row>
    <row r="45" ht="14.25" customHeight="1">
      <c r="A45" s="25"/>
      <c r="F45" s="26"/>
    </row>
    <row r="46" ht="14.25" customHeight="1">
      <c r="A46" s="25"/>
      <c r="F46" s="26"/>
    </row>
    <row r="47" ht="14.25" customHeight="1">
      <c r="A47" s="25"/>
      <c r="F47" s="26"/>
    </row>
    <row r="48" ht="14.25" customHeight="1">
      <c r="A48" s="25"/>
      <c r="F48" s="26"/>
    </row>
    <row r="49" ht="14.25" customHeight="1">
      <c r="A49" s="25"/>
      <c r="F49" s="26"/>
    </row>
    <row r="50" ht="14.25" customHeight="1">
      <c r="A50" s="25"/>
      <c r="F50" s="26"/>
    </row>
    <row r="51" ht="14.25" customHeight="1">
      <c r="A51" s="25"/>
      <c r="F51" s="26"/>
    </row>
    <row r="52" ht="14.25" customHeight="1">
      <c r="A52" s="25"/>
      <c r="F52" s="26"/>
    </row>
    <row r="53" ht="14.25" customHeight="1">
      <c r="A53" s="25"/>
      <c r="F53" s="26"/>
    </row>
    <row r="54" ht="14.25" customHeight="1">
      <c r="A54" s="25"/>
      <c r="F54" s="26"/>
    </row>
    <row r="55" ht="14.25" customHeight="1">
      <c r="A55" s="25"/>
      <c r="F55" s="26"/>
    </row>
    <row r="56" ht="14.25" customHeight="1">
      <c r="A56" s="25"/>
      <c r="F56" s="26"/>
    </row>
    <row r="57" ht="14.25" customHeight="1">
      <c r="A57" s="25"/>
      <c r="F57" s="26"/>
    </row>
    <row r="58" ht="14.25" customHeight="1">
      <c r="A58" s="25"/>
      <c r="F58" s="26"/>
    </row>
    <row r="59" ht="14.25" customHeight="1">
      <c r="A59" s="25"/>
      <c r="F59" s="26"/>
    </row>
    <row r="60" ht="14.25" customHeight="1">
      <c r="A60" s="25"/>
      <c r="F60" s="26"/>
    </row>
    <row r="61" ht="14.25" customHeight="1">
      <c r="A61" s="25"/>
      <c r="F61" s="26"/>
    </row>
    <row r="62" ht="14.25" customHeight="1">
      <c r="A62" s="25"/>
      <c r="F62" s="26"/>
    </row>
    <row r="63" ht="14.25" customHeight="1">
      <c r="A63" s="25"/>
      <c r="F63" s="26"/>
    </row>
    <row r="64" ht="14.25" customHeight="1">
      <c r="A64" s="25"/>
      <c r="F64" s="26"/>
    </row>
    <row r="65" ht="14.25" customHeight="1">
      <c r="A65" s="25"/>
      <c r="F65" s="26"/>
    </row>
    <row r="66" ht="14.25" customHeight="1">
      <c r="A66" s="25"/>
      <c r="F66" s="26"/>
    </row>
    <row r="67" ht="14.25" customHeight="1">
      <c r="A67" s="25"/>
      <c r="F67" s="26"/>
    </row>
    <row r="68" ht="14.25" customHeight="1">
      <c r="A68" s="25"/>
      <c r="F68" s="26"/>
    </row>
    <row r="69" ht="14.25" customHeight="1">
      <c r="A69" s="25"/>
      <c r="F69" s="26"/>
    </row>
    <row r="70" ht="14.25" customHeight="1">
      <c r="A70" s="25"/>
      <c r="F70" s="26"/>
    </row>
    <row r="71" ht="14.25" customHeight="1">
      <c r="A71" s="25"/>
      <c r="F71" s="26"/>
    </row>
    <row r="72" ht="14.25" customHeight="1">
      <c r="A72" s="25"/>
      <c r="F72" s="26"/>
    </row>
    <row r="73" ht="14.25" customHeight="1">
      <c r="A73" s="25"/>
      <c r="F73" s="26"/>
    </row>
    <row r="74" ht="14.25" customHeight="1">
      <c r="A74" s="25"/>
      <c r="F74" s="26"/>
    </row>
    <row r="75" ht="14.25" customHeight="1">
      <c r="A75" s="25"/>
      <c r="F75" s="26"/>
    </row>
    <row r="76" ht="14.25" customHeight="1">
      <c r="A76" s="25"/>
      <c r="F76" s="26"/>
    </row>
    <row r="77" ht="14.25" customHeight="1">
      <c r="A77" s="25"/>
      <c r="F77" s="26"/>
    </row>
    <row r="78" ht="14.25" customHeight="1">
      <c r="A78" s="25"/>
      <c r="F78" s="26"/>
    </row>
    <row r="79" ht="14.25" customHeight="1">
      <c r="A79" s="25"/>
      <c r="F79" s="26"/>
    </row>
    <row r="80" ht="14.25" customHeight="1">
      <c r="A80" s="25"/>
      <c r="F80" s="26"/>
    </row>
    <row r="81" ht="14.25" customHeight="1">
      <c r="A81" s="25"/>
      <c r="F81" s="26"/>
    </row>
    <row r="82" ht="14.25" customHeight="1">
      <c r="A82" s="25"/>
      <c r="F82" s="26"/>
    </row>
    <row r="83" ht="14.25" customHeight="1">
      <c r="A83" s="25"/>
      <c r="F83" s="26"/>
    </row>
    <row r="84" ht="14.25" customHeight="1">
      <c r="A84" s="25"/>
      <c r="F84" s="26"/>
    </row>
    <row r="85" ht="14.25" customHeight="1">
      <c r="A85" s="25"/>
      <c r="F85" s="26"/>
    </row>
    <row r="86" ht="14.25" customHeight="1">
      <c r="A86" s="25"/>
      <c r="F86" s="26"/>
    </row>
    <row r="87" ht="14.25" customHeight="1">
      <c r="A87" s="25"/>
      <c r="F87" s="26"/>
    </row>
    <row r="88" ht="14.25" customHeight="1">
      <c r="A88" s="25"/>
      <c r="F88" s="26"/>
    </row>
    <row r="89" ht="14.25" customHeight="1">
      <c r="A89" s="25"/>
      <c r="F89" s="26"/>
    </row>
    <row r="90" ht="14.25" customHeight="1">
      <c r="A90" s="25"/>
      <c r="F90" s="26"/>
    </row>
    <row r="91" ht="14.25" customHeight="1">
      <c r="A91" s="25"/>
      <c r="F91" s="26"/>
    </row>
    <row r="92" ht="14.25" customHeight="1">
      <c r="A92" s="25"/>
      <c r="F92" s="26"/>
    </row>
    <row r="93" ht="14.25" customHeight="1">
      <c r="A93" s="25"/>
      <c r="F93" s="26"/>
    </row>
    <row r="94" ht="14.25" customHeight="1">
      <c r="A94" s="25"/>
      <c r="F94" s="26"/>
    </row>
    <row r="95" ht="14.25" customHeight="1">
      <c r="A95" s="25"/>
      <c r="F95" s="26"/>
    </row>
    <row r="96" ht="14.25" customHeight="1">
      <c r="A96" s="25"/>
      <c r="F96" s="26"/>
    </row>
    <row r="97" ht="14.25" customHeight="1">
      <c r="A97" s="25"/>
      <c r="F97" s="26"/>
    </row>
    <row r="98" ht="14.25" customHeight="1">
      <c r="A98" s="25"/>
      <c r="F98" s="26"/>
    </row>
    <row r="99" ht="14.25" customHeight="1">
      <c r="A99" s="25"/>
      <c r="F99" s="26"/>
    </row>
    <row r="100" ht="14.25" customHeight="1">
      <c r="A100" s="25"/>
      <c r="F100" s="26"/>
    </row>
    <row r="101" ht="14.25" customHeight="1">
      <c r="A101" s="25"/>
      <c r="F101" s="26"/>
    </row>
    <row r="102" ht="14.25" customHeight="1">
      <c r="A102" s="25"/>
      <c r="F102" s="26"/>
    </row>
    <row r="103" ht="14.25" customHeight="1">
      <c r="A103" s="25"/>
      <c r="F103" s="26"/>
    </row>
    <row r="104" ht="14.25" customHeight="1">
      <c r="A104" s="25"/>
      <c r="F104" s="26"/>
    </row>
    <row r="105" ht="14.25" customHeight="1">
      <c r="A105" s="25"/>
      <c r="F105" s="26"/>
    </row>
    <row r="106" ht="14.25" customHeight="1">
      <c r="A106" s="25"/>
      <c r="F106" s="26"/>
    </row>
    <row r="107" ht="14.25" customHeight="1">
      <c r="A107" s="25"/>
      <c r="F107" s="26"/>
    </row>
    <row r="108" ht="14.25" customHeight="1">
      <c r="A108" s="25"/>
      <c r="F108" s="26"/>
    </row>
    <row r="109" ht="14.25" customHeight="1">
      <c r="A109" s="25"/>
      <c r="F109" s="26"/>
    </row>
    <row r="110" ht="14.25" customHeight="1">
      <c r="A110" s="25"/>
      <c r="F110" s="26"/>
    </row>
    <row r="111" ht="14.25" customHeight="1">
      <c r="A111" s="25"/>
      <c r="F111" s="26"/>
    </row>
    <row r="112" ht="14.25" customHeight="1">
      <c r="A112" s="25"/>
      <c r="F112" s="26"/>
    </row>
    <row r="113" ht="14.25" customHeight="1">
      <c r="A113" s="25"/>
      <c r="F113" s="26"/>
    </row>
    <row r="114" ht="14.25" customHeight="1">
      <c r="A114" s="25"/>
      <c r="F114" s="26"/>
    </row>
    <row r="115" ht="14.25" customHeight="1">
      <c r="A115" s="25"/>
      <c r="F115" s="26"/>
    </row>
    <row r="116" ht="14.25" customHeight="1">
      <c r="A116" s="25"/>
      <c r="F116" s="26"/>
    </row>
    <row r="117" ht="14.25" customHeight="1">
      <c r="A117" s="25"/>
      <c r="F117" s="26"/>
    </row>
    <row r="118" ht="14.25" customHeight="1">
      <c r="A118" s="25"/>
      <c r="F118" s="26"/>
    </row>
    <row r="119" ht="14.25" customHeight="1">
      <c r="A119" s="25"/>
      <c r="F119" s="26"/>
    </row>
    <row r="120" ht="14.25" customHeight="1">
      <c r="A120" s="25"/>
      <c r="F120" s="26"/>
    </row>
    <row r="121" ht="14.25" customHeight="1">
      <c r="A121" s="25"/>
      <c r="F121" s="26"/>
    </row>
    <row r="122" ht="14.25" customHeight="1">
      <c r="A122" s="25"/>
      <c r="F122" s="26"/>
    </row>
    <row r="123" ht="14.25" customHeight="1">
      <c r="A123" s="25"/>
      <c r="F123" s="26"/>
    </row>
    <row r="124" ht="14.25" customHeight="1">
      <c r="A124" s="25"/>
      <c r="F124" s="26"/>
    </row>
    <row r="125" ht="14.25" customHeight="1">
      <c r="A125" s="25"/>
      <c r="F125" s="26"/>
    </row>
    <row r="126" ht="14.25" customHeight="1">
      <c r="A126" s="25"/>
      <c r="F126" s="26"/>
    </row>
    <row r="127" ht="14.25" customHeight="1">
      <c r="A127" s="25"/>
      <c r="F127" s="26"/>
    </row>
    <row r="128" ht="14.25" customHeight="1">
      <c r="A128" s="25"/>
      <c r="F128" s="26"/>
    </row>
    <row r="129" ht="14.25" customHeight="1">
      <c r="A129" s="25"/>
      <c r="F129" s="26"/>
    </row>
    <row r="130" ht="14.25" customHeight="1">
      <c r="A130" s="25"/>
      <c r="F130" s="26"/>
    </row>
    <row r="131" ht="14.25" customHeight="1">
      <c r="A131" s="25"/>
      <c r="F131" s="26"/>
    </row>
    <row r="132" ht="14.25" customHeight="1">
      <c r="A132" s="25"/>
      <c r="F132" s="26"/>
    </row>
    <row r="133" ht="14.25" customHeight="1">
      <c r="A133" s="25"/>
      <c r="F133" s="26"/>
    </row>
    <row r="134" ht="14.25" customHeight="1">
      <c r="A134" s="25"/>
      <c r="F134" s="26"/>
    </row>
    <row r="135" ht="14.25" customHeight="1">
      <c r="A135" s="25"/>
      <c r="F135" s="26"/>
    </row>
    <row r="136" ht="14.25" customHeight="1">
      <c r="A136" s="25"/>
      <c r="F136" s="26"/>
    </row>
    <row r="137" ht="14.25" customHeight="1">
      <c r="A137" s="25"/>
      <c r="F137" s="26"/>
    </row>
    <row r="138" ht="14.25" customHeight="1">
      <c r="A138" s="25"/>
      <c r="F138" s="26"/>
    </row>
    <row r="139" ht="14.25" customHeight="1">
      <c r="A139" s="25"/>
      <c r="F139" s="26"/>
    </row>
    <row r="140" ht="14.25" customHeight="1">
      <c r="A140" s="25"/>
      <c r="F140" s="26"/>
    </row>
    <row r="141" ht="14.25" customHeight="1">
      <c r="A141" s="25"/>
      <c r="F141" s="26"/>
    </row>
    <row r="142" ht="14.25" customHeight="1">
      <c r="A142" s="25"/>
      <c r="F142" s="26"/>
    </row>
    <row r="143" ht="14.25" customHeight="1">
      <c r="A143" s="25"/>
      <c r="F143" s="26"/>
    </row>
    <row r="144" ht="14.25" customHeight="1">
      <c r="A144" s="25"/>
      <c r="F144" s="26"/>
    </row>
    <row r="145" ht="14.25" customHeight="1">
      <c r="A145" s="25"/>
      <c r="F145" s="26"/>
    </row>
    <row r="146" ht="14.25" customHeight="1">
      <c r="A146" s="25"/>
      <c r="F146" s="26"/>
    </row>
    <row r="147" ht="14.25" customHeight="1">
      <c r="A147" s="25"/>
      <c r="F147" s="26"/>
    </row>
    <row r="148" ht="14.25" customHeight="1">
      <c r="A148" s="25"/>
      <c r="F148" s="26"/>
    </row>
    <row r="149" ht="14.25" customHeight="1">
      <c r="A149" s="25"/>
      <c r="F149" s="26"/>
    </row>
    <row r="150" ht="14.25" customHeight="1">
      <c r="A150" s="25"/>
      <c r="F150" s="26"/>
    </row>
    <row r="151" ht="14.25" customHeight="1">
      <c r="A151" s="25"/>
      <c r="F151" s="26"/>
    </row>
    <row r="152" ht="14.25" customHeight="1">
      <c r="A152" s="25"/>
      <c r="F152" s="26"/>
    </row>
    <row r="153" ht="14.25" customHeight="1">
      <c r="A153" s="25"/>
      <c r="F153" s="26"/>
    </row>
    <row r="154" ht="14.25" customHeight="1">
      <c r="A154" s="25"/>
      <c r="F154" s="26"/>
    </row>
    <row r="155" ht="14.25" customHeight="1">
      <c r="A155" s="25"/>
      <c r="F155" s="26"/>
    </row>
    <row r="156" ht="14.25" customHeight="1">
      <c r="A156" s="25"/>
      <c r="F156" s="26"/>
    </row>
    <row r="157" ht="14.25" customHeight="1">
      <c r="A157" s="25"/>
      <c r="F157" s="26"/>
    </row>
    <row r="158" ht="14.25" customHeight="1">
      <c r="A158" s="25"/>
      <c r="F158" s="26"/>
    </row>
    <row r="159" ht="14.25" customHeight="1">
      <c r="A159" s="25"/>
      <c r="F159" s="26"/>
    </row>
    <row r="160" ht="14.25" customHeight="1">
      <c r="A160" s="25"/>
      <c r="F160" s="26"/>
    </row>
    <row r="161" ht="14.25" customHeight="1">
      <c r="A161" s="25"/>
      <c r="F161" s="26"/>
    </row>
    <row r="162" ht="14.25" customHeight="1">
      <c r="A162" s="25"/>
      <c r="F162" s="26"/>
    </row>
    <row r="163" ht="14.25" customHeight="1">
      <c r="A163" s="25"/>
      <c r="F163" s="26"/>
    </row>
    <row r="164" ht="14.25" customHeight="1">
      <c r="A164" s="25"/>
      <c r="F164" s="26"/>
    </row>
    <row r="165" ht="14.25" customHeight="1">
      <c r="A165" s="25"/>
      <c r="F165" s="26"/>
    </row>
    <row r="166" ht="14.25" customHeight="1">
      <c r="A166" s="25"/>
      <c r="F166" s="26"/>
    </row>
    <row r="167" ht="14.25" customHeight="1">
      <c r="A167" s="25"/>
      <c r="F167" s="26"/>
    </row>
    <row r="168" ht="14.25" customHeight="1">
      <c r="A168" s="25"/>
      <c r="F168" s="26"/>
    </row>
    <row r="169" ht="14.25" customHeight="1">
      <c r="A169" s="25"/>
      <c r="F169" s="26"/>
    </row>
    <row r="170" ht="14.25" customHeight="1">
      <c r="A170" s="25"/>
      <c r="F170" s="26"/>
    </row>
    <row r="171" ht="14.25" customHeight="1">
      <c r="A171" s="25"/>
      <c r="F171" s="26"/>
    </row>
    <row r="172" ht="14.25" customHeight="1">
      <c r="A172" s="25"/>
      <c r="F172" s="26"/>
    </row>
    <row r="173" ht="14.25" customHeight="1">
      <c r="A173" s="25"/>
      <c r="F173" s="26"/>
    </row>
    <row r="174" ht="14.25" customHeight="1">
      <c r="A174" s="25"/>
      <c r="F174" s="26"/>
    </row>
    <row r="175" ht="14.25" customHeight="1">
      <c r="A175" s="25"/>
      <c r="F175" s="26"/>
    </row>
    <row r="176" ht="14.25" customHeight="1">
      <c r="A176" s="25"/>
      <c r="F176" s="26"/>
    </row>
    <row r="177" ht="14.25" customHeight="1">
      <c r="A177" s="25"/>
      <c r="F177" s="26"/>
    </row>
    <row r="178" ht="14.25" customHeight="1">
      <c r="A178" s="25"/>
      <c r="F178" s="26"/>
    </row>
    <row r="179" ht="14.25" customHeight="1">
      <c r="A179" s="25"/>
      <c r="F179" s="26"/>
    </row>
    <row r="180" ht="14.25" customHeight="1">
      <c r="A180" s="25"/>
      <c r="F180" s="26"/>
    </row>
    <row r="181" ht="14.25" customHeight="1">
      <c r="A181" s="25"/>
      <c r="F181" s="26"/>
    </row>
    <row r="182" ht="14.25" customHeight="1">
      <c r="A182" s="25"/>
      <c r="F182" s="26"/>
    </row>
    <row r="183" ht="14.25" customHeight="1">
      <c r="A183" s="25"/>
      <c r="F183" s="26"/>
    </row>
    <row r="184" ht="14.25" customHeight="1">
      <c r="A184" s="25"/>
      <c r="F184" s="26"/>
    </row>
    <row r="185" ht="14.25" customHeight="1">
      <c r="A185" s="25"/>
      <c r="F185" s="26"/>
    </row>
    <row r="186" ht="14.25" customHeight="1">
      <c r="A186" s="25"/>
      <c r="F186" s="26"/>
    </row>
    <row r="187" ht="14.25" customHeight="1">
      <c r="A187" s="25"/>
      <c r="F187" s="26"/>
    </row>
    <row r="188" ht="14.25" customHeight="1">
      <c r="A188" s="25"/>
      <c r="F188" s="26"/>
    </row>
    <row r="189" ht="14.25" customHeight="1">
      <c r="A189" s="25"/>
      <c r="F189" s="26"/>
    </row>
    <row r="190" ht="14.25" customHeight="1">
      <c r="A190" s="25"/>
      <c r="F190" s="26"/>
    </row>
    <row r="191" ht="14.25" customHeight="1">
      <c r="A191" s="25"/>
      <c r="F191" s="26"/>
    </row>
    <row r="192" ht="14.25" customHeight="1">
      <c r="A192" s="25"/>
      <c r="F192" s="26"/>
    </row>
    <row r="193" ht="14.25" customHeight="1">
      <c r="A193" s="25"/>
      <c r="F193" s="26"/>
    </row>
    <row r="194" ht="14.25" customHeight="1">
      <c r="A194" s="25"/>
      <c r="F194" s="26"/>
    </row>
    <row r="195" ht="14.25" customHeight="1">
      <c r="A195" s="25"/>
      <c r="F195" s="26"/>
    </row>
    <row r="196" ht="14.25" customHeight="1">
      <c r="A196" s="25"/>
      <c r="F196" s="26"/>
    </row>
    <row r="197" ht="14.25" customHeight="1">
      <c r="A197" s="25"/>
      <c r="F197" s="26"/>
    </row>
    <row r="198" ht="14.25" customHeight="1">
      <c r="A198" s="25"/>
      <c r="F198" s="26"/>
    </row>
    <row r="199" ht="14.25" customHeight="1">
      <c r="A199" s="25"/>
      <c r="F199" s="26"/>
    </row>
    <row r="200" ht="14.25" customHeight="1">
      <c r="A200" s="25"/>
      <c r="F200" s="26"/>
    </row>
    <row r="201" ht="14.25" customHeight="1">
      <c r="A201" s="25"/>
      <c r="F201" s="26"/>
    </row>
    <row r="202" ht="14.25" customHeight="1">
      <c r="A202" s="25"/>
      <c r="F202" s="26"/>
    </row>
    <row r="203" ht="14.25" customHeight="1">
      <c r="A203" s="25"/>
      <c r="F203" s="26"/>
    </row>
    <row r="204" ht="14.25" customHeight="1">
      <c r="A204" s="25"/>
      <c r="F204" s="26"/>
    </row>
    <row r="205" ht="14.25" customHeight="1">
      <c r="A205" s="25"/>
      <c r="F205" s="26"/>
    </row>
    <row r="206" ht="14.25" customHeight="1">
      <c r="A206" s="25"/>
      <c r="F206" s="26"/>
    </row>
    <row r="207" ht="14.25" customHeight="1">
      <c r="A207" s="25"/>
      <c r="F207" s="26"/>
    </row>
    <row r="208" ht="14.25" customHeight="1">
      <c r="A208" s="25"/>
      <c r="F208" s="26"/>
    </row>
    <row r="209" ht="14.25" customHeight="1">
      <c r="A209" s="25"/>
      <c r="F209" s="26"/>
    </row>
    <row r="210" ht="14.25" customHeight="1">
      <c r="A210" s="25"/>
      <c r="F210" s="26"/>
    </row>
    <row r="211" ht="14.25" customHeight="1">
      <c r="A211" s="25"/>
      <c r="F211" s="26"/>
    </row>
    <row r="212" ht="14.25" customHeight="1">
      <c r="A212" s="25"/>
      <c r="F212" s="26"/>
    </row>
    <row r="213" ht="14.25" customHeight="1">
      <c r="A213" s="25"/>
      <c r="F213" s="26"/>
    </row>
    <row r="214" ht="14.25" customHeight="1">
      <c r="A214" s="25"/>
      <c r="F214" s="26"/>
    </row>
    <row r="215" ht="14.25" customHeight="1">
      <c r="A215" s="25"/>
      <c r="F215" s="26"/>
    </row>
    <row r="216" ht="14.25" customHeight="1">
      <c r="A216" s="25"/>
      <c r="F216" s="26"/>
    </row>
    <row r="217" ht="14.25" customHeight="1">
      <c r="A217" s="25"/>
      <c r="F217" s="26"/>
    </row>
    <row r="218" ht="14.25" customHeight="1">
      <c r="A218" s="25"/>
      <c r="F218" s="26"/>
    </row>
    <row r="219" ht="14.25" customHeight="1">
      <c r="A219" s="25"/>
      <c r="F219" s="26"/>
    </row>
    <row r="220" ht="14.25" customHeight="1">
      <c r="A220" s="25"/>
      <c r="F220" s="26"/>
    </row>
    <row r="221" ht="14.25" customHeight="1">
      <c r="A221" s="25"/>
      <c r="F221" s="26"/>
    </row>
    <row r="222" ht="14.25" customHeight="1">
      <c r="A222" s="25"/>
      <c r="F222" s="26"/>
    </row>
    <row r="223" ht="14.25" customHeight="1">
      <c r="A223" s="25"/>
      <c r="F223" s="26"/>
    </row>
    <row r="224" ht="14.25" customHeight="1">
      <c r="A224" s="25"/>
      <c r="F224" s="26"/>
    </row>
    <row r="225" ht="14.25" customHeight="1">
      <c r="A225" s="25"/>
      <c r="F225" s="26"/>
    </row>
    <row r="226" ht="14.25" customHeight="1">
      <c r="A226" s="25"/>
      <c r="F226" s="26"/>
    </row>
    <row r="227" ht="14.25" customHeight="1">
      <c r="A227" s="25"/>
      <c r="F227" s="26"/>
    </row>
    <row r="228" ht="14.25" customHeight="1">
      <c r="A228" s="25"/>
      <c r="F228" s="26"/>
    </row>
    <row r="229" ht="14.25" customHeight="1">
      <c r="A229" s="25"/>
      <c r="F229" s="26"/>
    </row>
    <row r="230" ht="14.25" customHeight="1">
      <c r="A230" s="25"/>
      <c r="F230" s="26"/>
    </row>
    <row r="231" ht="14.25" customHeight="1">
      <c r="A231" s="25"/>
      <c r="F231" s="26"/>
    </row>
    <row r="232" ht="14.25" customHeight="1">
      <c r="A232" s="25"/>
      <c r="F232" s="26"/>
    </row>
    <row r="233" ht="14.25" customHeight="1">
      <c r="A233" s="25"/>
      <c r="F233" s="26"/>
    </row>
    <row r="234" ht="14.25" customHeight="1">
      <c r="A234" s="25"/>
      <c r="F234" s="26"/>
    </row>
    <row r="235" ht="14.25" customHeight="1">
      <c r="A235" s="25"/>
      <c r="F235" s="26"/>
    </row>
    <row r="236" ht="14.25" customHeight="1">
      <c r="A236" s="25"/>
      <c r="F236" s="26"/>
    </row>
    <row r="237" ht="14.25" customHeight="1">
      <c r="A237" s="25"/>
      <c r="F237" s="26"/>
    </row>
    <row r="238" ht="14.25" customHeight="1">
      <c r="A238" s="25"/>
      <c r="F238" s="26"/>
    </row>
    <row r="239" ht="14.25" customHeight="1">
      <c r="A239" s="25"/>
      <c r="F239" s="26"/>
    </row>
    <row r="240" ht="14.25" customHeight="1">
      <c r="A240" s="25"/>
      <c r="F240" s="26"/>
    </row>
    <row r="241" ht="14.25" customHeight="1">
      <c r="A241" s="25"/>
      <c r="F241" s="26"/>
    </row>
    <row r="242" ht="14.25" customHeight="1">
      <c r="A242" s="25"/>
      <c r="F242" s="26"/>
    </row>
    <row r="243" ht="14.25" customHeight="1">
      <c r="A243" s="25"/>
      <c r="F243" s="26"/>
    </row>
    <row r="244" ht="14.25" customHeight="1">
      <c r="A244" s="25"/>
      <c r="F244" s="26"/>
    </row>
    <row r="245" ht="14.25" customHeight="1">
      <c r="A245" s="25"/>
      <c r="F245" s="26"/>
    </row>
    <row r="246" ht="14.25" customHeight="1">
      <c r="A246" s="25"/>
      <c r="F246" s="26"/>
    </row>
    <row r="247" ht="14.25" customHeight="1">
      <c r="A247" s="25"/>
      <c r="F247" s="26"/>
    </row>
    <row r="248" ht="14.25" customHeight="1">
      <c r="A248" s="25"/>
      <c r="F248" s="26"/>
    </row>
    <row r="249" ht="14.25" customHeight="1">
      <c r="A249" s="25"/>
      <c r="F249" s="26"/>
    </row>
    <row r="250" ht="14.25" customHeight="1">
      <c r="A250" s="25"/>
      <c r="F250" s="26"/>
    </row>
    <row r="251" ht="14.25" customHeight="1">
      <c r="A251" s="25"/>
      <c r="F251" s="26"/>
    </row>
    <row r="252" ht="14.25" customHeight="1">
      <c r="A252" s="25"/>
      <c r="F252" s="26"/>
    </row>
    <row r="253" ht="14.25" customHeight="1">
      <c r="A253" s="25"/>
      <c r="F253" s="26"/>
    </row>
    <row r="254" ht="14.25" customHeight="1">
      <c r="A254" s="25"/>
      <c r="F254" s="26"/>
    </row>
    <row r="255" ht="14.25" customHeight="1">
      <c r="A255" s="25"/>
      <c r="F255" s="26"/>
    </row>
    <row r="256" ht="14.25" customHeight="1">
      <c r="A256" s="25"/>
      <c r="F256" s="26"/>
    </row>
    <row r="257" ht="14.25" customHeight="1">
      <c r="A257" s="25"/>
      <c r="F257" s="26"/>
    </row>
    <row r="258" ht="14.25" customHeight="1">
      <c r="A258" s="25"/>
      <c r="F258" s="26"/>
    </row>
    <row r="259" ht="14.25" customHeight="1">
      <c r="A259" s="25"/>
      <c r="F259" s="26"/>
    </row>
    <row r="260" ht="14.25" customHeight="1">
      <c r="A260" s="25"/>
      <c r="F260" s="26"/>
    </row>
    <row r="261" ht="14.25" customHeight="1">
      <c r="A261" s="25"/>
      <c r="F261" s="26"/>
    </row>
    <row r="262" ht="14.25" customHeight="1">
      <c r="A262" s="25"/>
      <c r="F262" s="26"/>
    </row>
    <row r="263" ht="14.25" customHeight="1">
      <c r="A263" s="25"/>
      <c r="F263" s="26"/>
    </row>
    <row r="264" ht="14.25" customHeight="1">
      <c r="A264" s="25"/>
      <c r="F264" s="26"/>
    </row>
    <row r="265" ht="14.25" customHeight="1">
      <c r="A265" s="25"/>
      <c r="F265" s="26"/>
    </row>
    <row r="266" ht="14.25" customHeight="1">
      <c r="A266" s="25"/>
      <c r="F266" s="26"/>
    </row>
    <row r="267" ht="14.25" customHeight="1">
      <c r="A267" s="25"/>
      <c r="F267" s="26"/>
    </row>
    <row r="268" ht="14.25" customHeight="1">
      <c r="A268" s="25"/>
      <c r="F268" s="26"/>
    </row>
    <row r="269" ht="14.25" customHeight="1">
      <c r="A269" s="25"/>
      <c r="F269" s="26"/>
    </row>
    <row r="270" ht="14.25" customHeight="1">
      <c r="A270" s="25"/>
      <c r="F270" s="26"/>
    </row>
    <row r="271" ht="14.25" customHeight="1">
      <c r="A271" s="25"/>
      <c r="F271" s="26"/>
    </row>
    <row r="272" ht="14.25" customHeight="1">
      <c r="A272" s="25"/>
      <c r="F272" s="26"/>
    </row>
    <row r="273" ht="14.25" customHeight="1">
      <c r="A273" s="25"/>
      <c r="F273" s="26"/>
    </row>
    <row r="274" ht="14.25" customHeight="1">
      <c r="A274" s="25"/>
      <c r="F274" s="26"/>
    </row>
    <row r="275" ht="14.25" customHeight="1">
      <c r="A275" s="25"/>
      <c r="F275" s="26"/>
    </row>
    <row r="276" ht="14.25" customHeight="1">
      <c r="A276" s="25"/>
      <c r="F276" s="26"/>
    </row>
    <row r="277" ht="14.25" customHeight="1">
      <c r="A277" s="25"/>
      <c r="F277" s="26"/>
    </row>
    <row r="278" ht="14.25" customHeight="1">
      <c r="A278" s="25"/>
      <c r="F278" s="26"/>
    </row>
    <row r="279" ht="14.25" customHeight="1">
      <c r="A279" s="25"/>
      <c r="F279" s="26"/>
    </row>
    <row r="280" ht="14.25" customHeight="1">
      <c r="A280" s="25"/>
      <c r="F280" s="26"/>
    </row>
    <row r="281" ht="14.25" customHeight="1">
      <c r="A281" s="25"/>
      <c r="F281" s="26"/>
    </row>
    <row r="282" ht="14.25" customHeight="1">
      <c r="A282" s="25"/>
      <c r="F282" s="26"/>
    </row>
    <row r="283" ht="14.25" customHeight="1">
      <c r="A283" s="25"/>
      <c r="F283" s="26"/>
    </row>
    <row r="284" ht="14.25" customHeight="1">
      <c r="A284" s="25"/>
      <c r="F284" s="26"/>
    </row>
    <row r="285" ht="14.25" customHeight="1">
      <c r="A285" s="25"/>
      <c r="F285" s="26"/>
    </row>
    <row r="286" ht="14.25" customHeight="1">
      <c r="A286" s="25"/>
      <c r="F286" s="26"/>
    </row>
    <row r="287" ht="14.25" customHeight="1">
      <c r="A287" s="25"/>
      <c r="F287" s="26"/>
    </row>
    <row r="288" ht="14.25" customHeight="1">
      <c r="A288" s="25"/>
      <c r="F288" s="26"/>
    </row>
    <row r="289" ht="14.25" customHeight="1">
      <c r="A289" s="25"/>
      <c r="F289" s="26"/>
    </row>
    <row r="290" ht="14.25" customHeight="1">
      <c r="A290" s="25"/>
      <c r="F290" s="26"/>
    </row>
    <row r="291" ht="14.25" customHeight="1">
      <c r="A291" s="25"/>
      <c r="F291" s="26"/>
    </row>
    <row r="292" ht="14.25" customHeight="1">
      <c r="A292" s="25"/>
      <c r="F292" s="26"/>
    </row>
    <row r="293" ht="14.25" customHeight="1">
      <c r="A293" s="25"/>
      <c r="F293" s="26"/>
    </row>
    <row r="294" ht="14.25" customHeight="1">
      <c r="A294" s="25"/>
      <c r="F294" s="26"/>
    </row>
    <row r="295" ht="14.25" customHeight="1">
      <c r="A295" s="25"/>
      <c r="F295" s="26"/>
    </row>
    <row r="296" ht="14.25" customHeight="1">
      <c r="A296" s="25"/>
      <c r="F296" s="26"/>
    </row>
    <row r="297" ht="14.25" customHeight="1">
      <c r="A297" s="25"/>
      <c r="F297" s="26"/>
    </row>
    <row r="298" ht="14.25" customHeight="1">
      <c r="A298" s="25"/>
      <c r="F298" s="26"/>
    </row>
    <row r="299" ht="14.25" customHeight="1">
      <c r="A299" s="25"/>
      <c r="F299" s="26"/>
    </row>
    <row r="300" ht="14.25" customHeight="1">
      <c r="A300" s="25"/>
      <c r="F300" s="26"/>
    </row>
    <row r="301" ht="14.25" customHeight="1">
      <c r="A301" s="25"/>
      <c r="F301" s="26"/>
    </row>
    <row r="302" ht="14.25" customHeight="1">
      <c r="A302" s="25"/>
      <c r="F302" s="26"/>
    </row>
    <row r="303" ht="14.25" customHeight="1">
      <c r="A303" s="25"/>
      <c r="F303" s="26"/>
    </row>
    <row r="304" ht="14.25" customHeight="1">
      <c r="A304" s="25"/>
      <c r="F304" s="26"/>
    </row>
    <row r="305" ht="14.25" customHeight="1">
      <c r="A305" s="25"/>
      <c r="F305" s="26"/>
    </row>
    <row r="306" ht="14.25" customHeight="1">
      <c r="A306" s="25"/>
      <c r="F306" s="26"/>
    </row>
    <row r="307" ht="14.25" customHeight="1">
      <c r="A307" s="25"/>
      <c r="F307" s="26"/>
    </row>
    <row r="308" ht="14.25" customHeight="1">
      <c r="A308" s="25"/>
      <c r="F308" s="26"/>
    </row>
    <row r="309" ht="14.25" customHeight="1">
      <c r="A309" s="25"/>
      <c r="F309" s="26"/>
    </row>
    <row r="310" ht="14.25" customHeight="1">
      <c r="A310" s="25"/>
      <c r="F310" s="26"/>
    </row>
    <row r="311" ht="14.25" customHeight="1">
      <c r="A311" s="25"/>
      <c r="F311" s="26"/>
    </row>
    <row r="312" ht="14.25" customHeight="1">
      <c r="A312" s="25"/>
      <c r="F312" s="26"/>
    </row>
    <row r="313" ht="14.25" customHeight="1">
      <c r="A313" s="25"/>
      <c r="F313" s="26"/>
    </row>
    <row r="314" ht="14.25" customHeight="1">
      <c r="A314" s="25"/>
      <c r="F314" s="26"/>
    </row>
    <row r="315" ht="14.25" customHeight="1">
      <c r="A315" s="25"/>
      <c r="F315" s="26"/>
    </row>
    <row r="316" ht="14.25" customHeight="1">
      <c r="A316" s="25"/>
      <c r="F316" s="26"/>
    </row>
    <row r="317" ht="14.25" customHeight="1">
      <c r="A317" s="25"/>
      <c r="F317" s="26"/>
    </row>
    <row r="318" ht="14.25" customHeight="1">
      <c r="A318" s="25"/>
      <c r="F318" s="26"/>
    </row>
    <row r="319" ht="14.25" customHeight="1">
      <c r="A319" s="25"/>
      <c r="F319" s="26"/>
    </row>
    <row r="320" ht="14.25" customHeight="1">
      <c r="A320" s="25"/>
      <c r="F320" s="26"/>
    </row>
    <row r="321" ht="14.25" customHeight="1">
      <c r="A321" s="25"/>
      <c r="F321" s="26"/>
    </row>
    <row r="322" ht="14.25" customHeight="1">
      <c r="A322" s="25"/>
      <c r="F322" s="26"/>
    </row>
    <row r="323" ht="14.25" customHeight="1">
      <c r="A323" s="25"/>
      <c r="F323" s="26"/>
    </row>
    <row r="324" ht="14.25" customHeight="1">
      <c r="A324" s="25"/>
      <c r="F324" s="26"/>
    </row>
    <row r="325" ht="14.25" customHeight="1">
      <c r="A325" s="25"/>
      <c r="F325" s="26"/>
    </row>
    <row r="326" ht="14.25" customHeight="1">
      <c r="A326" s="25"/>
      <c r="F326" s="26"/>
    </row>
    <row r="327" ht="14.25" customHeight="1">
      <c r="A327" s="25"/>
      <c r="F327" s="26"/>
    </row>
    <row r="328" ht="14.25" customHeight="1">
      <c r="A328" s="25"/>
      <c r="F328" s="26"/>
    </row>
    <row r="329" ht="14.25" customHeight="1">
      <c r="A329" s="25"/>
      <c r="F329" s="26"/>
    </row>
    <row r="330" ht="14.25" customHeight="1">
      <c r="A330" s="25"/>
      <c r="F330" s="26"/>
    </row>
    <row r="331" ht="14.25" customHeight="1">
      <c r="A331" s="25"/>
      <c r="F331" s="26"/>
    </row>
    <row r="332" ht="14.25" customHeight="1">
      <c r="A332" s="25"/>
      <c r="F332" s="26"/>
    </row>
    <row r="333" ht="14.25" customHeight="1">
      <c r="A333" s="25"/>
      <c r="F333" s="26"/>
    </row>
    <row r="334" ht="14.25" customHeight="1">
      <c r="A334" s="25"/>
      <c r="F334" s="26"/>
    </row>
    <row r="335" ht="14.25" customHeight="1">
      <c r="A335" s="25"/>
      <c r="F335" s="26"/>
    </row>
    <row r="336" ht="14.25" customHeight="1">
      <c r="A336" s="25"/>
      <c r="F336" s="26"/>
    </row>
    <row r="337" ht="14.25" customHeight="1">
      <c r="A337" s="25"/>
      <c r="F337" s="26"/>
    </row>
    <row r="338" ht="14.25" customHeight="1">
      <c r="A338" s="25"/>
      <c r="F338" s="26"/>
    </row>
    <row r="339" ht="14.25" customHeight="1">
      <c r="A339" s="25"/>
      <c r="F339" s="26"/>
    </row>
    <row r="340" ht="14.25" customHeight="1">
      <c r="A340" s="25"/>
      <c r="F340" s="26"/>
    </row>
    <row r="341" ht="14.25" customHeight="1">
      <c r="A341" s="25"/>
      <c r="F341" s="26"/>
    </row>
    <row r="342" ht="14.25" customHeight="1">
      <c r="A342" s="25"/>
      <c r="F342" s="26"/>
    </row>
    <row r="343" ht="14.25" customHeight="1">
      <c r="A343" s="25"/>
      <c r="F343" s="26"/>
    </row>
    <row r="344" ht="14.25" customHeight="1">
      <c r="A344" s="25"/>
      <c r="F344" s="26"/>
    </row>
    <row r="345" ht="14.25" customHeight="1">
      <c r="A345" s="25"/>
      <c r="F345" s="26"/>
    </row>
    <row r="346" ht="14.25" customHeight="1">
      <c r="A346" s="25"/>
      <c r="F346" s="26"/>
    </row>
    <row r="347" ht="14.25" customHeight="1">
      <c r="A347" s="25"/>
      <c r="F347" s="26"/>
    </row>
    <row r="348" ht="14.25" customHeight="1">
      <c r="A348" s="25"/>
      <c r="F348" s="26"/>
    </row>
    <row r="349" ht="14.25" customHeight="1">
      <c r="A349" s="25"/>
      <c r="F349" s="26"/>
    </row>
    <row r="350" ht="14.25" customHeight="1">
      <c r="A350" s="25"/>
      <c r="F350" s="26"/>
    </row>
    <row r="351" ht="14.25" customHeight="1">
      <c r="A351" s="25"/>
      <c r="F351" s="26"/>
    </row>
    <row r="352" ht="14.25" customHeight="1">
      <c r="A352" s="25"/>
      <c r="F352" s="26"/>
    </row>
    <row r="353" ht="14.25" customHeight="1">
      <c r="A353" s="25"/>
      <c r="F353" s="26"/>
    </row>
    <row r="354" ht="14.25" customHeight="1">
      <c r="A354" s="25"/>
      <c r="F354" s="26"/>
    </row>
    <row r="355" ht="14.25" customHeight="1">
      <c r="A355" s="25"/>
      <c r="F355" s="26"/>
    </row>
    <row r="356" ht="14.25" customHeight="1">
      <c r="A356" s="25"/>
      <c r="F356" s="26"/>
    </row>
    <row r="357" ht="14.25" customHeight="1">
      <c r="A357" s="25"/>
      <c r="F357" s="26"/>
    </row>
    <row r="358" ht="14.25" customHeight="1">
      <c r="A358" s="25"/>
      <c r="F358" s="26"/>
    </row>
    <row r="359" ht="14.25" customHeight="1">
      <c r="A359" s="25"/>
      <c r="F359" s="26"/>
    </row>
    <row r="360" ht="14.25" customHeight="1">
      <c r="A360" s="25"/>
      <c r="F360" s="26"/>
    </row>
    <row r="361" ht="14.25" customHeight="1">
      <c r="A361" s="25"/>
      <c r="F361" s="26"/>
    </row>
    <row r="362" ht="14.25" customHeight="1">
      <c r="A362" s="25"/>
      <c r="F362" s="26"/>
    </row>
    <row r="363" ht="14.25" customHeight="1">
      <c r="A363" s="25"/>
      <c r="F363" s="26"/>
    </row>
    <row r="364" ht="14.25" customHeight="1">
      <c r="A364" s="25"/>
      <c r="F364" s="26"/>
    </row>
    <row r="365" ht="14.25" customHeight="1">
      <c r="A365" s="25"/>
      <c r="F365" s="26"/>
    </row>
    <row r="366" ht="14.25" customHeight="1">
      <c r="A366" s="25"/>
      <c r="F366" s="26"/>
    </row>
    <row r="367" ht="14.25" customHeight="1">
      <c r="A367" s="25"/>
      <c r="F367" s="26"/>
    </row>
    <row r="368" ht="14.25" customHeight="1">
      <c r="A368" s="25"/>
      <c r="F368" s="26"/>
    </row>
    <row r="369" ht="14.25" customHeight="1">
      <c r="A369" s="25"/>
      <c r="F369" s="26"/>
    </row>
    <row r="370" ht="14.25" customHeight="1">
      <c r="A370" s="25"/>
      <c r="F370" s="26"/>
    </row>
    <row r="371" ht="14.25" customHeight="1">
      <c r="A371" s="25"/>
      <c r="F371" s="26"/>
    </row>
    <row r="372" ht="14.25" customHeight="1">
      <c r="A372" s="25"/>
      <c r="F372" s="26"/>
    </row>
    <row r="373" ht="14.25" customHeight="1">
      <c r="A373" s="25"/>
      <c r="F373" s="26"/>
    </row>
    <row r="374" ht="14.25" customHeight="1">
      <c r="A374" s="25"/>
      <c r="F374" s="26"/>
    </row>
    <row r="375" ht="14.25" customHeight="1">
      <c r="A375" s="25"/>
      <c r="F375" s="26"/>
    </row>
    <row r="376" ht="14.25" customHeight="1">
      <c r="A376" s="25"/>
      <c r="F376" s="26"/>
    </row>
    <row r="377" ht="14.25" customHeight="1">
      <c r="A377" s="25"/>
      <c r="F377" s="26"/>
    </row>
    <row r="378" ht="14.25" customHeight="1">
      <c r="A378" s="25"/>
      <c r="F378" s="26"/>
    </row>
    <row r="379" ht="14.25" customHeight="1">
      <c r="A379" s="25"/>
      <c r="F379" s="26"/>
    </row>
    <row r="380" ht="14.25" customHeight="1">
      <c r="A380" s="25"/>
      <c r="F380" s="26"/>
    </row>
    <row r="381" ht="14.25" customHeight="1">
      <c r="A381" s="25"/>
      <c r="F381" s="26"/>
    </row>
    <row r="382" ht="14.25" customHeight="1">
      <c r="A382" s="25"/>
      <c r="F382" s="26"/>
    </row>
    <row r="383" ht="14.25" customHeight="1">
      <c r="A383" s="25"/>
      <c r="F383" s="26"/>
    </row>
    <row r="384" ht="14.25" customHeight="1">
      <c r="A384" s="25"/>
      <c r="F384" s="26"/>
    </row>
    <row r="385" ht="14.25" customHeight="1">
      <c r="A385" s="25"/>
      <c r="F385" s="26"/>
    </row>
    <row r="386" ht="14.25" customHeight="1">
      <c r="A386" s="25"/>
      <c r="F386" s="26"/>
    </row>
    <row r="387" ht="14.25" customHeight="1">
      <c r="A387" s="25"/>
      <c r="F387" s="26"/>
    </row>
    <row r="388" ht="14.25" customHeight="1">
      <c r="A388" s="25"/>
      <c r="F388" s="26"/>
    </row>
    <row r="389" ht="14.25" customHeight="1">
      <c r="A389" s="25"/>
      <c r="F389" s="26"/>
    </row>
    <row r="390" ht="14.25" customHeight="1">
      <c r="A390" s="25"/>
      <c r="F390" s="26"/>
    </row>
    <row r="391" ht="14.25" customHeight="1">
      <c r="A391" s="25"/>
      <c r="F391" s="26"/>
    </row>
    <row r="392" ht="14.25" customHeight="1">
      <c r="A392" s="25"/>
      <c r="F392" s="26"/>
    </row>
    <row r="393" ht="14.25" customHeight="1">
      <c r="A393" s="25"/>
      <c r="F393" s="26"/>
    </row>
    <row r="394" ht="14.25" customHeight="1">
      <c r="A394" s="25"/>
      <c r="F394" s="26"/>
    </row>
    <row r="395" ht="14.25" customHeight="1">
      <c r="A395" s="25"/>
      <c r="F395" s="26"/>
    </row>
    <row r="396" ht="14.25" customHeight="1">
      <c r="A396" s="25"/>
      <c r="F396" s="26"/>
    </row>
    <row r="397" ht="14.25" customHeight="1">
      <c r="A397" s="25"/>
      <c r="F397" s="26"/>
    </row>
    <row r="398" ht="14.25" customHeight="1">
      <c r="A398" s="25"/>
      <c r="F398" s="26"/>
    </row>
    <row r="399" ht="14.25" customHeight="1">
      <c r="A399" s="25"/>
      <c r="F399" s="26"/>
    </row>
    <row r="400" ht="14.25" customHeight="1">
      <c r="A400" s="25"/>
      <c r="F400" s="26"/>
    </row>
    <row r="401" ht="14.25" customHeight="1">
      <c r="A401" s="25"/>
      <c r="F401" s="26"/>
    </row>
    <row r="402" ht="14.25" customHeight="1">
      <c r="A402" s="25"/>
      <c r="F402" s="26"/>
    </row>
    <row r="403" ht="14.25" customHeight="1">
      <c r="A403" s="25"/>
      <c r="F403" s="26"/>
    </row>
    <row r="404" ht="14.25" customHeight="1">
      <c r="A404" s="25"/>
      <c r="F404" s="26"/>
    </row>
    <row r="405" ht="14.25" customHeight="1">
      <c r="A405" s="25"/>
      <c r="F405" s="26"/>
    </row>
    <row r="406" ht="14.25" customHeight="1">
      <c r="A406" s="25"/>
      <c r="F406" s="26"/>
    </row>
    <row r="407" ht="14.25" customHeight="1">
      <c r="A407" s="25"/>
      <c r="F407" s="26"/>
    </row>
    <row r="408" ht="14.25" customHeight="1">
      <c r="A408" s="25"/>
      <c r="F408" s="26"/>
    </row>
    <row r="409" ht="14.25" customHeight="1">
      <c r="A409" s="25"/>
      <c r="F409" s="26"/>
    </row>
    <row r="410" ht="14.25" customHeight="1">
      <c r="A410" s="25"/>
      <c r="F410" s="26"/>
    </row>
    <row r="411" ht="14.25" customHeight="1">
      <c r="A411" s="25"/>
      <c r="F411" s="26"/>
    </row>
    <row r="412" ht="14.25" customHeight="1">
      <c r="A412" s="25"/>
      <c r="F412" s="26"/>
    </row>
    <row r="413" ht="14.25" customHeight="1">
      <c r="A413" s="25"/>
      <c r="F413" s="26"/>
    </row>
    <row r="414" ht="14.25" customHeight="1">
      <c r="A414" s="25"/>
      <c r="F414" s="26"/>
    </row>
    <row r="415" ht="14.25" customHeight="1">
      <c r="A415" s="25"/>
      <c r="F415" s="26"/>
    </row>
    <row r="416" ht="14.25" customHeight="1">
      <c r="A416" s="25"/>
      <c r="F416" s="26"/>
    </row>
    <row r="417" ht="14.25" customHeight="1">
      <c r="A417" s="25"/>
      <c r="F417" s="26"/>
    </row>
    <row r="418" ht="14.25" customHeight="1">
      <c r="A418" s="25"/>
      <c r="F418" s="26"/>
    </row>
    <row r="419" ht="14.25" customHeight="1">
      <c r="A419" s="25"/>
      <c r="F419" s="26"/>
    </row>
    <row r="420" ht="14.25" customHeight="1">
      <c r="A420" s="25"/>
      <c r="F420" s="26"/>
    </row>
    <row r="421" ht="14.25" customHeight="1">
      <c r="A421" s="25"/>
      <c r="F421" s="26"/>
    </row>
    <row r="422" ht="14.25" customHeight="1">
      <c r="A422" s="25"/>
      <c r="F422" s="26"/>
    </row>
    <row r="423" ht="14.25" customHeight="1">
      <c r="A423" s="25"/>
      <c r="F423" s="26"/>
    </row>
    <row r="424" ht="14.25" customHeight="1">
      <c r="A424" s="25"/>
      <c r="F424" s="26"/>
    </row>
    <row r="425" ht="14.25" customHeight="1">
      <c r="A425" s="25"/>
      <c r="F425" s="26"/>
    </row>
    <row r="426" ht="14.25" customHeight="1">
      <c r="A426" s="25"/>
      <c r="F426" s="26"/>
    </row>
    <row r="427" ht="14.25" customHeight="1">
      <c r="A427" s="25"/>
      <c r="F427" s="26"/>
    </row>
    <row r="428" ht="14.25" customHeight="1">
      <c r="A428" s="25"/>
      <c r="F428" s="26"/>
    </row>
    <row r="429" ht="14.25" customHeight="1">
      <c r="A429" s="25"/>
      <c r="F429" s="26"/>
    </row>
    <row r="430" ht="14.25" customHeight="1">
      <c r="A430" s="25"/>
      <c r="F430" s="26"/>
    </row>
    <row r="431" ht="14.25" customHeight="1">
      <c r="A431" s="25"/>
      <c r="F431" s="26"/>
    </row>
    <row r="432" ht="14.25" customHeight="1">
      <c r="A432" s="25"/>
      <c r="F432" s="26"/>
    </row>
    <row r="433" ht="14.25" customHeight="1">
      <c r="A433" s="25"/>
      <c r="F433" s="26"/>
    </row>
    <row r="434" ht="14.25" customHeight="1">
      <c r="A434" s="25"/>
      <c r="F434" s="26"/>
    </row>
    <row r="435" ht="14.25" customHeight="1">
      <c r="A435" s="25"/>
      <c r="F435" s="26"/>
    </row>
    <row r="436" ht="14.25" customHeight="1">
      <c r="A436" s="25"/>
      <c r="F436" s="26"/>
    </row>
    <row r="437" ht="14.25" customHeight="1">
      <c r="A437" s="25"/>
      <c r="F437" s="26"/>
    </row>
    <row r="438" ht="14.25" customHeight="1">
      <c r="A438" s="25"/>
      <c r="F438" s="26"/>
    </row>
    <row r="439" ht="14.25" customHeight="1">
      <c r="A439" s="25"/>
      <c r="F439" s="26"/>
    </row>
    <row r="440" ht="14.25" customHeight="1">
      <c r="A440" s="25"/>
      <c r="F440" s="26"/>
    </row>
    <row r="441" ht="14.25" customHeight="1">
      <c r="A441" s="25"/>
      <c r="F441" s="26"/>
    </row>
    <row r="442" ht="14.25" customHeight="1">
      <c r="A442" s="25"/>
      <c r="F442" s="26"/>
    </row>
    <row r="443" ht="14.25" customHeight="1">
      <c r="A443" s="25"/>
      <c r="F443" s="26"/>
    </row>
    <row r="444" ht="14.25" customHeight="1">
      <c r="A444" s="25"/>
      <c r="F444" s="26"/>
    </row>
    <row r="445" ht="14.25" customHeight="1">
      <c r="A445" s="25"/>
      <c r="F445" s="26"/>
    </row>
    <row r="446" ht="14.25" customHeight="1">
      <c r="A446" s="25"/>
      <c r="F446" s="26"/>
    </row>
    <row r="447" ht="14.25" customHeight="1">
      <c r="A447" s="25"/>
      <c r="F447" s="26"/>
    </row>
    <row r="448" ht="14.25" customHeight="1">
      <c r="A448" s="25"/>
      <c r="F448" s="26"/>
    </row>
    <row r="449" ht="14.25" customHeight="1">
      <c r="A449" s="25"/>
      <c r="F449" s="26"/>
    </row>
    <row r="450" ht="14.25" customHeight="1">
      <c r="A450" s="25"/>
      <c r="F450" s="26"/>
    </row>
    <row r="451" ht="14.25" customHeight="1">
      <c r="A451" s="25"/>
      <c r="F451" s="26"/>
    </row>
    <row r="452" ht="14.25" customHeight="1">
      <c r="A452" s="25"/>
      <c r="F452" s="26"/>
    </row>
    <row r="453" ht="14.25" customHeight="1">
      <c r="A453" s="25"/>
      <c r="F453" s="26"/>
    </row>
    <row r="454" ht="14.25" customHeight="1">
      <c r="A454" s="25"/>
      <c r="F454" s="26"/>
    </row>
    <row r="455" ht="14.25" customHeight="1">
      <c r="A455" s="25"/>
      <c r="F455" s="26"/>
    </row>
    <row r="456" ht="14.25" customHeight="1">
      <c r="A456" s="25"/>
      <c r="F456" s="26"/>
    </row>
    <row r="457" ht="14.25" customHeight="1">
      <c r="A457" s="25"/>
      <c r="F457" s="26"/>
    </row>
    <row r="458" ht="14.25" customHeight="1">
      <c r="A458" s="25"/>
      <c r="F458" s="26"/>
    </row>
    <row r="459" ht="14.25" customHeight="1">
      <c r="A459" s="25"/>
      <c r="F459" s="26"/>
    </row>
    <row r="460" ht="14.25" customHeight="1">
      <c r="A460" s="25"/>
      <c r="F460" s="26"/>
    </row>
    <row r="461" ht="14.25" customHeight="1">
      <c r="A461" s="25"/>
      <c r="F461" s="26"/>
    </row>
    <row r="462" ht="14.25" customHeight="1">
      <c r="A462" s="25"/>
      <c r="F462" s="26"/>
    </row>
    <row r="463" ht="14.25" customHeight="1">
      <c r="A463" s="25"/>
      <c r="F463" s="26"/>
    </row>
    <row r="464" ht="14.25" customHeight="1">
      <c r="A464" s="25"/>
      <c r="F464" s="26"/>
    </row>
    <row r="465" ht="14.25" customHeight="1">
      <c r="A465" s="25"/>
      <c r="F465" s="26"/>
    </row>
    <row r="466" ht="14.25" customHeight="1">
      <c r="A466" s="25"/>
      <c r="F466" s="26"/>
    </row>
    <row r="467" ht="14.25" customHeight="1">
      <c r="A467" s="25"/>
      <c r="F467" s="26"/>
    </row>
    <row r="468" ht="14.25" customHeight="1">
      <c r="A468" s="25"/>
      <c r="F468" s="26"/>
    </row>
    <row r="469" ht="14.25" customHeight="1">
      <c r="A469" s="25"/>
      <c r="F469" s="26"/>
    </row>
    <row r="470" ht="14.25" customHeight="1">
      <c r="A470" s="25"/>
      <c r="F470" s="26"/>
    </row>
    <row r="471" ht="14.25" customHeight="1">
      <c r="A471" s="25"/>
      <c r="F471" s="26"/>
    </row>
    <row r="472" ht="14.25" customHeight="1">
      <c r="A472" s="25"/>
      <c r="F472" s="26"/>
    </row>
    <row r="473" ht="14.25" customHeight="1">
      <c r="A473" s="25"/>
      <c r="F473" s="26"/>
    </row>
    <row r="474" ht="14.25" customHeight="1">
      <c r="A474" s="25"/>
      <c r="F474" s="26"/>
    </row>
    <row r="475" ht="14.25" customHeight="1">
      <c r="A475" s="25"/>
      <c r="F475" s="26"/>
    </row>
    <row r="476" ht="14.25" customHeight="1">
      <c r="A476" s="25"/>
      <c r="F476" s="26"/>
    </row>
    <row r="477" ht="14.25" customHeight="1">
      <c r="A477" s="25"/>
      <c r="F477" s="26"/>
    </row>
    <row r="478" ht="14.25" customHeight="1">
      <c r="A478" s="25"/>
      <c r="F478" s="26"/>
    </row>
    <row r="479" ht="14.25" customHeight="1">
      <c r="A479" s="25"/>
      <c r="F479" s="26"/>
    </row>
    <row r="480" ht="14.25" customHeight="1">
      <c r="A480" s="25"/>
      <c r="F480" s="26"/>
    </row>
    <row r="481" ht="14.25" customHeight="1">
      <c r="A481" s="25"/>
      <c r="F481" s="26"/>
    </row>
    <row r="482" ht="14.25" customHeight="1">
      <c r="A482" s="25"/>
      <c r="F482" s="26"/>
    </row>
    <row r="483" ht="14.25" customHeight="1">
      <c r="A483" s="25"/>
      <c r="F483" s="26"/>
    </row>
    <row r="484" ht="14.25" customHeight="1">
      <c r="A484" s="25"/>
      <c r="F484" s="26"/>
    </row>
    <row r="485" ht="14.25" customHeight="1">
      <c r="A485" s="25"/>
      <c r="F485" s="26"/>
    </row>
    <row r="486" ht="14.25" customHeight="1">
      <c r="A486" s="25"/>
      <c r="F486" s="26"/>
    </row>
    <row r="487" ht="14.25" customHeight="1">
      <c r="A487" s="25"/>
      <c r="F487" s="26"/>
    </row>
    <row r="488" ht="14.25" customHeight="1">
      <c r="A488" s="25"/>
      <c r="F488" s="26"/>
    </row>
    <row r="489" ht="14.25" customHeight="1">
      <c r="A489" s="25"/>
      <c r="F489" s="26"/>
    </row>
    <row r="490" ht="14.25" customHeight="1">
      <c r="A490" s="25"/>
      <c r="F490" s="26"/>
    </row>
    <row r="491" ht="14.25" customHeight="1">
      <c r="A491" s="25"/>
      <c r="F491" s="26"/>
    </row>
    <row r="492" ht="14.25" customHeight="1">
      <c r="A492" s="25"/>
      <c r="F492" s="26"/>
    </row>
    <row r="493" ht="14.25" customHeight="1">
      <c r="A493" s="25"/>
      <c r="F493" s="26"/>
    </row>
    <row r="494" ht="14.25" customHeight="1">
      <c r="A494" s="25"/>
      <c r="F494" s="26"/>
    </row>
    <row r="495" ht="14.25" customHeight="1">
      <c r="A495" s="25"/>
      <c r="F495" s="26"/>
    </row>
    <row r="496" ht="14.25" customHeight="1">
      <c r="A496" s="25"/>
      <c r="F496" s="26"/>
    </row>
    <row r="497" ht="14.25" customHeight="1">
      <c r="A497" s="25"/>
      <c r="F497" s="26"/>
    </row>
    <row r="498" ht="14.25" customHeight="1">
      <c r="A498" s="25"/>
      <c r="F498" s="26"/>
    </row>
    <row r="499" ht="14.25" customHeight="1">
      <c r="A499" s="25"/>
      <c r="F499" s="26"/>
    </row>
    <row r="500" ht="14.25" customHeight="1">
      <c r="A500" s="25"/>
      <c r="F500" s="26"/>
    </row>
    <row r="501" ht="14.25" customHeight="1">
      <c r="A501" s="25"/>
      <c r="F501" s="26"/>
    </row>
    <row r="502" ht="14.25" customHeight="1">
      <c r="A502" s="25"/>
      <c r="F502" s="26"/>
    </row>
    <row r="503" ht="14.25" customHeight="1">
      <c r="A503" s="25"/>
      <c r="F503" s="26"/>
    </row>
    <row r="504" ht="14.25" customHeight="1">
      <c r="A504" s="25"/>
      <c r="F504" s="26"/>
    </row>
    <row r="505" ht="14.25" customHeight="1">
      <c r="A505" s="25"/>
      <c r="F505" s="26"/>
    </row>
    <row r="506" ht="14.25" customHeight="1">
      <c r="A506" s="25"/>
      <c r="F506" s="26"/>
    </row>
    <row r="507" ht="14.25" customHeight="1">
      <c r="A507" s="25"/>
      <c r="F507" s="26"/>
    </row>
    <row r="508" ht="14.25" customHeight="1">
      <c r="A508" s="25"/>
      <c r="F508" s="26"/>
    </row>
    <row r="509" ht="14.25" customHeight="1">
      <c r="A509" s="25"/>
      <c r="F509" s="26"/>
    </row>
    <row r="510" ht="14.25" customHeight="1">
      <c r="A510" s="25"/>
      <c r="F510" s="26"/>
    </row>
    <row r="511" ht="14.25" customHeight="1">
      <c r="A511" s="25"/>
      <c r="F511" s="26"/>
    </row>
    <row r="512" ht="14.25" customHeight="1">
      <c r="A512" s="25"/>
      <c r="F512" s="26"/>
    </row>
    <row r="513" ht="14.25" customHeight="1">
      <c r="A513" s="25"/>
      <c r="F513" s="26"/>
    </row>
    <row r="514" ht="14.25" customHeight="1">
      <c r="A514" s="25"/>
      <c r="F514" s="26"/>
    </row>
    <row r="515" ht="14.25" customHeight="1">
      <c r="A515" s="25"/>
      <c r="F515" s="26"/>
    </row>
    <row r="516" ht="14.25" customHeight="1">
      <c r="A516" s="25"/>
      <c r="F516" s="26"/>
    </row>
    <row r="517" ht="14.25" customHeight="1">
      <c r="A517" s="25"/>
      <c r="F517" s="26"/>
    </row>
    <row r="518" ht="14.25" customHeight="1">
      <c r="A518" s="25"/>
      <c r="F518" s="26"/>
    </row>
    <row r="519" ht="14.25" customHeight="1">
      <c r="A519" s="25"/>
      <c r="F519" s="26"/>
    </row>
    <row r="520" ht="14.25" customHeight="1">
      <c r="A520" s="25"/>
      <c r="F520" s="26"/>
    </row>
    <row r="521" ht="14.25" customHeight="1">
      <c r="A521" s="25"/>
      <c r="F521" s="26"/>
    </row>
    <row r="522" ht="14.25" customHeight="1">
      <c r="A522" s="25"/>
      <c r="F522" s="26"/>
    </row>
    <row r="523" ht="14.25" customHeight="1">
      <c r="A523" s="25"/>
      <c r="F523" s="26"/>
    </row>
    <row r="524" ht="14.25" customHeight="1">
      <c r="A524" s="25"/>
      <c r="F524" s="26"/>
    </row>
    <row r="525" ht="14.25" customHeight="1">
      <c r="A525" s="25"/>
      <c r="F525" s="26"/>
    </row>
    <row r="526" ht="14.25" customHeight="1">
      <c r="A526" s="25"/>
      <c r="F526" s="26"/>
    </row>
    <row r="527" ht="14.25" customHeight="1">
      <c r="A527" s="25"/>
      <c r="F527" s="26"/>
    </row>
    <row r="528" ht="14.25" customHeight="1">
      <c r="A528" s="25"/>
      <c r="F528" s="26"/>
    </row>
    <row r="529" ht="14.25" customHeight="1">
      <c r="A529" s="25"/>
      <c r="F529" s="26"/>
    </row>
    <row r="530" ht="14.25" customHeight="1">
      <c r="A530" s="25"/>
      <c r="F530" s="26"/>
    </row>
    <row r="531" ht="14.25" customHeight="1">
      <c r="A531" s="25"/>
      <c r="F531" s="26"/>
    </row>
    <row r="532" ht="14.25" customHeight="1">
      <c r="A532" s="25"/>
      <c r="F532" s="26"/>
    </row>
    <row r="533" ht="14.25" customHeight="1">
      <c r="A533" s="25"/>
      <c r="F533" s="26"/>
    </row>
    <row r="534" ht="14.25" customHeight="1">
      <c r="A534" s="25"/>
      <c r="F534" s="26"/>
    </row>
    <row r="535" ht="14.25" customHeight="1">
      <c r="A535" s="25"/>
      <c r="F535" s="26"/>
    </row>
    <row r="536" ht="14.25" customHeight="1">
      <c r="A536" s="25"/>
      <c r="F536" s="26"/>
    </row>
    <row r="537" ht="14.25" customHeight="1">
      <c r="A537" s="25"/>
      <c r="F537" s="26"/>
    </row>
    <row r="538" ht="14.25" customHeight="1">
      <c r="A538" s="25"/>
      <c r="F538" s="26"/>
    </row>
    <row r="539" ht="14.25" customHeight="1">
      <c r="A539" s="25"/>
      <c r="F539" s="26"/>
    </row>
    <row r="540" ht="14.25" customHeight="1">
      <c r="A540" s="25"/>
      <c r="F540" s="26"/>
    </row>
    <row r="541" ht="14.25" customHeight="1">
      <c r="A541" s="25"/>
      <c r="F541" s="26"/>
    </row>
    <row r="542" ht="14.25" customHeight="1">
      <c r="A542" s="25"/>
      <c r="F542" s="26"/>
    </row>
    <row r="543" ht="14.25" customHeight="1">
      <c r="A543" s="25"/>
      <c r="F543" s="26"/>
    </row>
    <row r="544" ht="14.25" customHeight="1">
      <c r="A544" s="25"/>
      <c r="F544" s="26"/>
    </row>
    <row r="545" ht="14.25" customHeight="1">
      <c r="A545" s="25"/>
      <c r="F545" s="26"/>
    </row>
    <row r="546" ht="14.25" customHeight="1">
      <c r="A546" s="25"/>
      <c r="F546" s="26"/>
    </row>
    <row r="547" ht="14.25" customHeight="1">
      <c r="A547" s="25"/>
      <c r="F547" s="26"/>
    </row>
    <row r="548" ht="14.25" customHeight="1">
      <c r="A548" s="25"/>
      <c r="F548" s="26"/>
    </row>
    <row r="549" ht="14.25" customHeight="1">
      <c r="A549" s="25"/>
      <c r="F549" s="26"/>
    </row>
    <row r="550" ht="14.25" customHeight="1">
      <c r="A550" s="25"/>
      <c r="F550" s="26"/>
    </row>
    <row r="551" ht="14.25" customHeight="1">
      <c r="A551" s="25"/>
      <c r="F551" s="26"/>
    </row>
    <row r="552" ht="14.25" customHeight="1">
      <c r="A552" s="25"/>
      <c r="F552" s="26"/>
    </row>
    <row r="553" ht="14.25" customHeight="1">
      <c r="A553" s="25"/>
      <c r="F553" s="26"/>
    </row>
    <row r="554" ht="14.25" customHeight="1">
      <c r="A554" s="25"/>
      <c r="F554" s="26"/>
    </row>
    <row r="555" ht="14.25" customHeight="1">
      <c r="A555" s="25"/>
      <c r="F555" s="26"/>
    </row>
    <row r="556" ht="14.25" customHeight="1">
      <c r="A556" s="25"/>
      <c r="F556" s="26"/>
    </row>
    <row r="557" ht="14.25" customHeight="1">
      <c r="A557" s="25"/>
      <c r="F557" s="26"/>
    </row>
    <row r="558" ht="14.25" customHeight="1">
      <c r="A558" s="25"/>
      <c r="F558" s="26"/>
    </row>
    <row r="559" ht="14.25" customHeight="1">
      <c r="A559" s="25"/>
      <c r="F559" s="26"/>
    </row>
    <row r="560" ht="14.25" customHeight="1">
      <c r="A560" s="25"/>
      <c r="F560" s="26"/>
    </row>
    <row r="561" ht="14.25" customHeight="1">
      <c r="A561" s="25"/>
      <c r="F561" s="26"/>
    </row>
    <row r="562" ht="14.25" customHeight="1">
      <c r="A562" s="25"/>
      <c r="F562" s="26"/>
    </row>
    <row r="563" ht="14.25" customHeight="1">
      <c r="A563" s="25"/>
      <c r="F563" s="26"/>
    </row>
    <row r="564" ht="14.25" customHeight="1">
      <c r="A564" s="25"/>
      <c r="F564" s="26"/>
    </row>
    <row r="565" ht="14.25" customHeight="1">
      <c r="A565" s="25"/>
      <c r="F565" s="26"/>
    </row>
    <row r="566" ht="14.25" customHeight="1">
      <c r="A566" s="25"/>
      <c r="F566" s="26"/>
    </row>
    <row r="567" ht="14.25" customHeight="1">
      <c r="A567" s="25"/>
      <c r="F567" s="26"/>
    </row>
    <row r="568" ht="14.25" customHeight="1">
      <c r="A568" s="25"/>
      <c r="F568" s="26"/>
    </row>
    <row r="569" ht="14.25" customHeight="1">
      <c r="A569" s="25"/>
      <c r="F569" s="26"/>
    </row>
    <row r="570" ht="14.25" customHeight="1">
      <c r="A570" s="25"/>
      <c r="F570" s="26"/>
    </row>
    <row r="571" ht="14.25" customHeight="1">
      <c r="A571" s="25"/>
      <c r="F571" s="26"/>
    </row>
    <row r="572" ht="14.25" customHeight="1">
      <c r="A572" s="25"/>
      <c r="F572" s="26"/>
    </row>
    <row r="573" ht="14.25" customHeight="1">
      <c r="A573" s="25"/>
      <c r="F573" s="26"/>
    </row>
    <row r="574" ht="14.25" customHeight="1">
      <c r="A574" s="25"/>
      <c r="F574" s="26"/>
    </row>
    <row r="575" ht="14.25" customHeight="1">
      <c r="A575" s="25"/>
      <c r="F575" s="26"/>
    </row>
    <row r="576" ht="14.25" customHeight="1">
      <c r="A576" s="25"/>
      <c r="F576" s="26"/>
    </row>
    <row r="577" ht="14.25" customHeight="1">
      <c r="A577" s="25"/>
      <c r="F577" s="26"/>
    </row>
    <row r="578" ht="14.25" customHeight="1">
      <c r="A578" s="25"/>
      <c r="F578" s="26"/>
    </row>
    <row r="579" ht="14.25" customHeight="1">
      <c r="A579" s="25"/>
      <c r="F579" s="26"/>
    </row>
    <row r="580" ht="14.25" customHeight="1">
      <c r="A580" s="25"/>
      <c r="F580" s="26"/>
    </row>
    <row r="581" ht="14.25" customHeight="1">
      <c r="A581" s="25"/>
      <c r="F581" s="26"/>
    </row>
    <row r="582" ht="14.25" customHeight="1">
      <c r="A582" s="25"/>
      <c r="F582" s="26"/>
    </row>
    <row r="583" ht="14.25" customHeight="1">
      <c r="A583" s="25"/>
      <c r="F583" s="26"/>
    </row>
    <row r="584" ht="14.25" customHeight="1">
      <c r="A584" s="25"/>
      <c r="F584" s="26"/>
    </row>
    <row r="585" ht="14.25" customHeight="1">
      <c r="A585" s="25"/>
      <c r="F585" s="26"/>
    </row>
    <row r="586" ht="14.25" customHeight="1">
      <c r="A586" s="25"/>
      <c r="F586" s="26"/>
    </row>
    <row r="587" ht="14.25" customHeight="1">
      <c r="A587" s="25"/>
      <c r="F587" s="26"/>
    </row>
    <row r="588" ht="14.25" customHeight="1">
      <c r="A588" s="25"/>
      <c r="F588" s="26"/>
    </row>
    <row r="589" ht="14.25" customHeight="1">
      <c r="A589" s="25"/>
      <c r="F589" s="26"/>
    </row>
    <row r="590" ht="14.25" customHeight="1">
      <c r="A590" s="25"/>
      <c r="F590" s="26"/>
    </row>
    <row r="591" ht="14.25" customHeight="1">
      <c r="A591" s="25"/>
      <c r="F591" s="26"/>
    </row>
    <row r="592" ht="14.25" customHeight="1">
      <c r="A592" s="25"/>
      <c r="F592" s="26"/>
    </row>
    <row r="593" ht="14.25" customHeight="1">
      <c r="A593" s="25"/>
      <c r="F593" s="26"/>
    </row>
    <row r="594" ht="14.25" customHeight="1">
      <c r="A594" s="25"/>
      <c r="F594" s="26"/>
    </row>
    <row r="595" ht="14.25" customHeight="1">
      <c r="A595" s="25"/>
      <c r="F595" s="26"/>
    </row>
    <row r="596" ht="14.25" customHeight="1">
      <c r="A596" s="25"/>
      <c r="F596" s="26"/>
    </row>
    <row r="597" ht="14.25" customHeight="1">
      <c r="A597" s="25"/>
      <c r="F597" s="26"/>
    </row>
    <row r="598" ht="14.25" customHeight="1">
      <c r="A598" s="25"/>
      <c r="F598" s="26"/>
    </row>
    <row r="599" ht="14.25" customHeight="1">
      <c r="A599" s="25"/>
      <c r="F599" s="26"/>
    </row>
    <row r="600" ht="14.25" customHeight="1">
      <c r="A600" s="25"/>
      <c r="F600" s="26"/>
    </row>
    <row r="601" ht="14.25" customHeight="1">
      <c r="A601" s="25"/>
      <c r="F601" s="26"/>
    </row>
    <row r="602" ht="14.25" customHeight="1">
      <c r="A602" s="25"/>
      <c r="F602" s="26"/>
    </row>
    <row r="603" ht="14.25" customHeight="1">
      <c r="A603" s="25"/>
      <c r="F603" s="26"/>
    </row>
    <row r="604" ht="14.25" customHeight="1">
      <c r="A604" s="25"/>
      <c r="F604" s="26"/>
    </row>
    <row r="605" ht="14.25" customHeight="1">
      <c r="A605" s="25"/>
      <c r="F605" s="26"/>
    </row>
    <row r="606" ht="14.25" customHeight="1">
      <c r="A606" s="25"/>
      <c r="F606" s="26"/>
    </row>
    <row r="607" ht="14.25" customHeight="1">
      <c r="A607" s="25"/>
      <c r="F607" s="26"/>
    </row>
    <row r="608" ht="14.25" customHeight="1">
      <c r="A608" s="25"/>
      <c r="F608" s="26"/>
    </row>
    <row r="609" ht="14.25" customHeight="1">
      <c r="A609" s="25"/>
      <c r="F609" s="26"/>
    </row>
    <row r="610" ht="14.25" customHeight="1">
      <c r="A610" s="25"/>
      <c r="F610" s="26"/>
    </row>
    <row r="611" ht="14.25" customHeight="1">
      <c r="A611" s="25"/>
      <c r="F611" s="26"/>
    </row>
    <row r="612" ht="14.25" customHeight="1">
      <c r="A612" s="25"/>
      <c r="F612" s="26"/>
    </row>
    <row r="613" ht="14.25" customHeight="1">
      <c r="A613" s="25"/>
      <c r="F613" s="26"/>
    </row>
    <row r="614" ht="14.25" customHeight="1">
      <c r="A614" s="25"/>
      <c r="F614" s="26"/>
    </row>
    <row r="615" ht="14.25" customHeight="1">
      <c r="A615" s="25"/>
      <c r="F615" s="26"/>
    </row>
    <row r="616" ht="14.25" customHeight="1">
      <c r="A616" s="25"/>
      <c r="F616" s="26"/>
    </row>
    <row r="617" ht="14.25" customHeight="1">
      <c r="A617" s="25"/>
      <c r="F617" s="26"/>
    </row>
    <row r="618" ht="14.25" customHeight="1">
      <c r="A618" s="25"/>
      <c r="F618" s="26"/>
    </row>
    <row r="619" ht="14.25" customHeight="1">
      <c r="A619" s="25"/>
      <c r="F619" s="26"/>
    </row>
    <row r="620" ht="14.25" customHeight="1">
      <c r="A620" s="25"/>
      <c r="F620" s="26"/>
    </row>
    <row r="621" ht="14.25" customHeight="1">
      <c r="A621" s="25"/>
      <c r="F621" s="26"/>
    </row>
    <row r="622" ht="14.25" customHeight="1">
      <c r="A622" s="25"/>
      <c r="F622" s="26"/>
    </row>
    <row r="623" ht="14.25" customHeight="1">
      <c r="A623" s="25"/>
      <c r="F623" s="26"/>
    </row>
    <row r="624" ht="14.25" customHeight="1">
      <c r="A624" s="25"/>
      <c r="F624" s="26"/>
    </row>
    <row r="625" ht="14.25" customHeight="1">
      <c r="A625" s="25"/>
      <c r="F625" s="26"/>
    </row>
    <row r="626" ht="14.25" customHeight="1">
      <c r="A626" s="25"/>
      <c r="F626" s="26"/>
    </row>
    <row r="627" ht="14.25" customHeight="1">
      <c r="A627" s="25"/>
      <c r="F627" s="26"/>
    </row>
    <row r="628" ht="14.25" customHeight="1">
      <c r="A628" s="25"/>
      <c r="F628" s="26"/>
    </row>
    <row r="629" ht="14.25" customHeight="1">
      <c r="A629" s="25"/>
      <c r="F629" s="26"/>
    </row>
    <row r="630" ht="14.25" customHeight="1">
      <c r="A630" s="25"/>
      <c r="F630" s="26"/>
    </row>
    <row r="631" ht="14.25" customHeight="1">
      <c r="A631" s="25"/>
      <c r="F631" s="26"/>
    </row>
    <row r="632" ht="14.25" customHeight="1">
      <c r="A632" s="25"/>
      <c r="F632" s="26"/>
    </row>
    <row r="633" ht="14.25" customHeight="1">
      <c r="A633" s="25"/>
      <c r="F633" s="26"/>
    </row>
    <row r="634" ht="14.25" customHeight="1">
      <c r="A634" s="25"/>
      <c r="F634" s="26"/>
    </row>
    <row r="635" ht="14.25" customHeight="1">
      <c r="A635" s="25"/>
      <c r="F635" s="26"/>
    </row>
    <row r="636" ht="14.25" customHeight="1">
      <c r="A636" s="25"/>
      <c r="F636" s="26"/>
    </row>
    <row r="637" ht="14.25" customHeight="1">
      <c r="A637" s="25"/>
      <c r="F637" s="26"/>
    </row>
    <row r="638" ht="14.25" customHeight="1">
      <c r="A638" s="25"/>
      <c r="F638" s="26"/>
    </row>
    <row r="639" ht="14.25" customHeight="1">
      <c r="A639" s="25"/>
      <c r="F639" s="26"/>
    </row>
    <row r="640" ht="14.25" customHeight="1">
      <c r="A640" s="25"/>
      <c r="F640" s="26"/>
    </row>
    <row r="641" ht="14.25" customHeight="1">
      <c r="A641" s="25"/>
      <c r="F641" s="26"/>
    </row>
    <row r="642" ht="14.25" customHeight="1">
      <c r="A642" s="25"/>
      <c r="F642" s="26"/>
    </row>
    <row r="643" ht="14.25" customHeight="1">
      <c r="A643" s="25"/>
      <c r="F643" s="26"/>
    </row>
    <row r="644" ht="14.25" customHeight="1">
      <c r="A644" s="25"/>
      <c r="F644" s="26"/>
    </row>
    <row r="645" ht="14.25" customHeight="1">
      <c r="A645" s="25"/>
      <c r="F645" s="26"/>
    </row>
    <row r="646" ht="14.25" customHeight="1">
      <c r="A646" s="25"/>
      <c r="F646" s="26"/>
    </row>
    <row r="647" ht="14.25" customHeight="1">
      <c r="A647" s="25"/>
      <c r="F647" s="26"/>
    </row>
    <row r="648" ht="14.25" customHeight="1">
      <c r="A648" s="25"/>
      <c r="F648" s="26"/>
    </row>
    <row r="649" ht="14.25" customHeight="1">
      <c r="A649" s="25"/>
      <c r="F649" s="26"/>
    </row>
    <row r="650" ht="14.25" customHeight="1">
      <c r="A650" s="25"/>
      <c r="F650" s="26"/>
    </row>
    <row r="651" ht="14.25" customHeight="1">
      <c r="A651" s="25"/>
      <c r="F651" s="26"/>
    </row>
    <row r="652" ht="14.25" customHeight="1">
      <c r="A652" s="25"/>
      <c r="F652" s="26"/>
    </row>
    <row r="653" ht="14.25" customHeight="1">
      <c r="A653" s="25"/>
      <c r="F653" s="26"/>
    </row>
    <row r="654" ht="14.25" customHeight="1">
      <c r="A654" s="25"/>
      <c r="F654" s="26"/>
    </row>
    <row r="655" ht="14.25" customHeight="1">
      <c r="A655" s="25"/>
      <c r="F655" s="26"/>
    </row>
    <row r="656" ht="14.25" customHeight="1">
      <c r="A656" s="25"/>
      <c r="F656" s="26"/>
    </row>
    <row r="657" ht="14.25" customHeight="1">
      <c r="A657" s="25"/>
      <c r="F657" s="26"/>
    </row>
    <row r="658" ht="14.25" customHeight="1">
      <c r="A658" s="25"/>
      <c r="F658" s="26"/>
    </row>
    <row r="659" ht="14.25" customHeight="1">
      <c r="A659" s="25"/>
      <c r="F659" s="26"/>
    </row>
    <row r="660" ht="14.25" customHeight="1">
      <c r="A660" s="25"/>
      <c r="F660" s="26"/>
    </row>
    <row r="661" ht="14.25" customHeight="1">
      <c r="A661" s="25"/>
      <c r="F661" s="26"/>
    </row>
    <row r="662" ht="14.25" customHeight="1">
      <c r="A662" s="25"/>
      <c r="F662" s="26"/>
    </row>
    <row r="663" ht="14.25" customHeight="1">
      <c r="A663" s="25"/>
      <c r="F663" s="26"/>
    </row>
    <row r="664" ht="14.25" customHeight="1">
      <c r="A664" s="25"/>
      <c r="F664" s="26"/>
    </row>
    <row r="665" ht="14.25" customHeight="1">
      <c r="A665" s="25"/>
      <c r="F665" s="26"/>
    </row>
    <row r="666" ht="14.25" customHeight="1">
      <c r="A666" s="25"/>
      <c r="F666" s="26"/>
    </row>
    <row r="667" ht="14.25" customHeight="1">
      <c r="A667" s="25"/>
      <c r="F667" s="26"/>
    </row>
    <row r="668" ht="14.25" customHeight="1">
      <c r="A668" s="25"/>
      <c r="F668" s="26"/>
    </row>
    <row r="669" ht="14.25" customHeight="1">
      <c r="A669" s="25"/>
      <c r="F669" s="26"/>
    </row>
    <row r="670" ht="14.25" customHeight="1">
      <c r="A670" s="25"/>
      <c r="F670" s="26"/>
    </row>
    <row r="671" ht="14.25" customHeight="1">
      <c r="A671" s="25"/>
      <c r="F671" s="26"/>
    </row>
    <row r="672" ht="14.25" customHeight="1">
      <c r="A672" s="25"/>
      <c r="F672" s="26"/>
    </row>
    <row r="673" ht="14.25" customHeight="1">
      <c r="A673" s="25"/>
      <c r="F673" s="26"/>
    </row>
    <row r="674" ht="14.25" customHeight="1">
      <c r="A674" s="25"/>
      <c r="F674" s="26"/>
    </row>
    <row r="675" ht="14.25" customHeight="1">
      <c r="A675" s="25"/>
      <c r="F675" s="26"/>
    </row>
    <row r="676" ht="14.25" customHeight="1">
      <c r="A676" s="25"/>
      <c r="F676" s="26"/>
    </row>
    <row r="677" ht="14.25" customHeight="1">
      <c r="A677" s="25"/>
      <c r="F677" s="26"/>
    </row>
    <row r="678" ht="14.25" customHeight="1">
      <c r="A678" s="25"/>
      <c r="F678" s="26"/>
    </row>
    <row r="679" ht="14.25" customHeight="1">
      <c r="A679" s="25"/>
      <c r="F679" s="26"/>
    </row>
    <row r="680" ht="14.25" customHeight="1">
      <c r="A680" s="25"/>
      <c r="F680" s="26"/>
    </row>
    <row r="681" ht="14.25" customHeight="1">
      <c r="A681" s="25"/>
      <c r="F681" s="26"/>
    </row>
    <row r="682" ht="14.25" customHeight="1">
      <c r="A682" s="25"/>
      <c r="F682" s="26"/>
    </row>
    <row r="683" ht="14.25" customHeight="1">
      <c r="A683" s="25"/>
      <c r="F683" s="26"/>
    </row>
    <row r="684" ht="14.25" customHeight="1">
      <c r="A684" s="25"/>
      <c r="F684" s="26"/>
    </row>
    <row r="685" ht="14.25" customHeight="1">
      <c r="A685" s="25"/>
      <c r="F685" s="26"/>
    </row>
    <row r="686" ht="14.25" customHeight="1">
      <c r="A686" s="25"/>
      <c r="F686" s="26"/>
    </row>
    <row r="687" ht="14.25" customHeight="1">
      <c r="A687" s="25"/>
      <c r="F687" s="26"/>
    </row>
    <row r="688" ht="14.25" customHeight="1">
      <c r="A688" s="25"/>
      <c r="F688" s="26"/>
    </row>
    <row r="689" ht="14.25" customHeight="1">
      <c r="A689" s="25"/>
      <c r="F689" s="26"/>
    </row>
    <row r="690" ht="14.25" customHeight="1">
      <c r="A690" s="25"/>
      <c r="F690" s="26"/>
    </row>
    <row r="691" ht="14.25" customHeight="1">
      <c r="A691" s="25"/>
      <c r="F691" s="26"/>
    </row>
    <row r="692" ht="14.25" customHeight="1">
      <c r="A692" s="25"/>
      <c r="F692" s="26"/>
    </row>
    <row r="693" ht="14.25" customHeight="1">
      <c r="A693" s="25"/>
      <c r="F693" s="26"/>
    </row>
    <row r="694" ht="14.25" customHeight="1">
      <c r="A694" s="25"/>
      <c r="F694" s="26"/>
    </row>
    <row r="695" ht="14.25" customHeight="1">
      <c r="A695" s="25"/>
      <c r="F695" s="26"/>
    </row>
    <row r="696" ht="14.25" customHeight="1">
      <c r="A696" s="25"/>
      <c r="F696" s="26"/>
    </row>
    <row r="697" ht="14.25" customHeight="1">
      <c r="A697" s="25"/>
      <c r="F697" s="26"/>
    </row>
    <row r="698" ht="14.25" customHeight="1">
      <c r="A698" s="25"/>
      <c r="F698" s="26"/>
    </row>
    <row r="699" ht="14.25" customHeight="1">
      <c r="A699" s="25"/>
      <c r="F699" s="26"/>
    </row>
    <row r="700" ht="14.25" customHeight="1">
      <c r="A700" s="25"/>
      <c r="F700" s="26"/>
    </row>
    <row r="701" ht="14.25" customHeight="1">
      <c r="A701" s="25"/>
      <c r="F701" s="26"/>
    </row>
    <row r="702" ht="14.25" customHeight="1">
      <c r="A702" s="25"/>
      <c r="F702" s="26"/>
    </row>
    <row r="703" ht="14.25" customHeight="1">
      <c r="A703" s="25"/>
      <c r="F703" s="26"/>
    </row>
    <row r="704" ht="14.25" customHeight="1">
      <c r="A704" s="25"/>
      <c r="F704" s="26"/>
    </row>
    <row r="705" ht="14.25" customHeight="1">
      <c r="A705" s="25"/>
      <c r="F705" s="26"/>
    </row>
    <row r="706" ht="14.25" customHeight="1">
      <c r="A706" s="25"/>
      <c r="F706" s="26"/>
    </row>
    <row r="707" ht="14.25" customHeight="1">
      <c r="A707" s="25"/>
      <c r="F707" s="26"/>
    </row>
    <row r="708" ht="14.25" customHeight="1">
      <c r="A708" s="25"/>
      <c r="F708" s="26"/>
    </row>
    <row r="709" ht="14.25" customHeight="1">
      <c r="A709" s="25"/>
      <c r="F709" s="26"/>
    </row>
    <row r="710" ht="14.25" customHeight="1">
      <c r="A710" s="25"/>
      <c r="F710" s="26"/>
    </row>
    <row r="711" ht="14.25" customHeight="1">
      <c r="A711" s="25"/>
      <c r="F711" s="26"/>
    </row>
    <row r="712" ht="14.25" customHeight="1">
      <c r="A712" s="25"/>
      <c r="F712" s="26"/>
    </row>
    <row r="713" ht="14.25" customHeight="1">
      <c r="A713" s="25"/>
      <c r="F713" s="26"/>
    </row>
    <row r="714" ht="14.25" customHeight="1">
      <c r="A714" s="25"/>
      <c r="F714" s="26"/>
    </row>
    <row r="715" ht="14.25" customHeight="1">
      <c r="A715" s="25"/>
      <c r="F715" s="26"/>
    </row>
    <row r="716" ht="14.25" customHeight="1">
      <c r="A716" s="25"/>
      <c r="F716" s="26"/>
    </row>
    <row r="717" ht="14.25" customHeight="1">
      <c r="A717" s="25"/>
      <c r="F717" s="26"/>
    </row>
    <row r="718" ht="14.25" customHeight="1">
      <c r="A718" s="25"/>
      <c r="F718" s="26"/>
    </row>
    <row r="719" ht="14.25" customHeight="1">
      <c r="A719" s="25"/>
      <c r="F719" s="26"/>
    </row>
    <row r="720" ht="14.25" customHeight="1">
      <c r="A720" s="25"/>
      <c r="F720" s="26"/>
    </row>
    <row r="721" ht="14.25" customHeight="1">
      <c r="A721" s="25"/>
      <c r="F721" s="26"/>
    </row>
    <row r="722" ht="14.25" customHeight="1">
      <c r="A722" s="25"/>
      <c r="F722" s="26"/>
    </row>
    <row r="723" ht="14.25" customHeight="1">
      <c r="A723" s="25"/>
      <c r="F723" s="26"/>
    </row>
    <row r="724" ht="14.25" customHeight="1">
      <c r="A724" s="25"/>
      <c r="F724" s="26"/>
    </row>
    <row r="725" ht="14.25" customHeight="1">
      <c r="A725" s="25"/>
      <c r="F725" s="26"/>
    </row>
    <row r="726" ht="14.25" customHeight="1">
      <c r="A726" s="25"/>
      <c r="F726" s="26"/>
    </row>
    <row r="727" ht="14.25" customHeight="1">
      <c r="A727" s="25"/>
      <c r="F727" s="26"/>
    </row>
    <row r="728" ht="14.25" customHeight="1">
      <c r="A728" s="25"/>
      <c r="F728" s="26"/>
    </row>
    <row r="729" ht="14.25" customHeight="1">
      <c r="A729" s="25"/>
      <c r="F729" s="26"/>
    </row>
    <row r="730" ht="14.25" customHeight="1">
      <c r="A730" s="25"/>
      <c r="F730" s="26"/>
    </row>
    <row r="731" ht="14.25" customHeight="1">
      <c r="A731" s="25"/>
      <c r="F731" s="26"/>
    </row>
    <row r="732" ht="14.25" customHeight="1">
      <c r="A732" s="25"/>
      <c r="F732" s="26"/>
    </row>
    <row r="733" ht="14.25" customHeight="1">
      <c r="A733" s="25"/>
      <c r="F733" s="26"/>
    </row>
    <row r="734" ht="14.25" customHeight="1">
      <c r="A734" s="25"/>
      <c r="F734" s="26"/>
    </row>
    <row r="735" ht="14.25" customHeight="1">
      <c r="A735" s="25"/>
      <c r="F735" s="26"/>
    </row>
    <row r="736" ht="14.25" customHeight="1">
      <c r="A736" s="25"/>
      <c r="F736" s="26"/>
    </row>
    <row r="737" ht="14.25" customHeight="1">
      <c r="A737" s="25"/>
      <c r="F737" s="26"/>
    </row>
    <row r="738" ht="14.25" customHeight="1">
      <c r="A738" s="25"/>
      <c r="F738" s="26"/>
    </row>
    <row r="739" ht="14.25" customHeight="1">
      <c r="A739" s="25"/>
      <c r="F739" s="26"/>
    </row>
    <row r="740" ht="14.25" customHeight="1">
      <c r="A740" s="25"/>
      <c r="F740" s="26"/>
    </row>
    <row r="741" ht="14.25" customHeight="1">
      <c r="A741" s="25"/>
      <c r="F741" s="26"/>
    </row>
    <row r="742" ht="14.25" customHeight="1">
      <c r="A742" s="25"/>
      <c r="F742" s="26"/>
    </row>
    <row r="743" ht="14.25" customHeight="1">
      <c r="A743" s="25"/>
      <c r="F743" s="26"/>
    </row>
    <row r="744" ht="14.25" customHeight="1">
      <c r="A744" s="25"/>
      <c r="F744" s="26"/>
    </row>
    <row r="745" ht="14.25" customHeight="1">
      <c r="A745" s="25"/>
      <c r="F745" s="26"/>
    </row>
    <row r="746" ht="14.25" customHeight="1">
      <c r="A746" s="25"/>
      <c r="F746" s="26"/>
    </row>
    <row r="747" ht="14.25" customHeight="1">
      <c r="A747" s="25"/>
      <c r="F747" s="26"/>
    </row>
    <row r="748" ht="14.25" customHeight="1">
      <c r="A748" s="25"/>
      <c r="F748" s="26"/>
    </row>
    <row r="749" ht="14.25" customHeight="1">
      <c r="A749" s="25"/>
      <c r="F749" s="26"/>
    </row>
    <row r="750" ht="14.25" customHeight="1">
      <c r="A750" s="25"/>
      <c r="F750" s="26"/>
    </row>
    <row r="751" ht="14.25" customHeight="1">
      <c r="A751" s="25"/>
      <c r="F751" s="26"/>
    </row>
    <row r="752" ht="14.25" customHeight="1">
      <c r="A752" s="25"/>
      <c r="F752" s="26"/>
    </row>
    <row r="753" ht="14.25" customHeight="1">
      <c r="A753" s="25"/>
      <c r="F753" s="26"/>
    </row>
    <row r="754" ht="14.25" customHeight="1">
      <c r="A754" s="25"/>
      <c r="F754" s="26"/>
    </row>
    <row r="755" ht="14.25" customHeight="1">
      <c r="A755" s="25"/>
      <c r="F755" s="26"/>
    </row>
    <row r="756" ht="14.25" customHeight="1">
      <c r="A756" s="25"/>
      <c r="F756" s="26"/>
    </row>
    <row r="757" ht="14.25" customHeight="1">
      <c r="A757" s="25"/>
      <c r="F757" s="26"/>
    </row>
    <row r="758" ht="14.25" customHeight="1">
      <c r="A758" s="25"/>
      <c r="F758" s="26"/>
    </row>
    <row r="759" ht="14.25" customHeight="1">
      <c r="A759" s="25"/>
      <c r="F759" s="26"/>
    </row>
    <row r="760" ht="14.25" customHeight="1">
      <c r="A760" s="25"/>
      <c r="F760" s="26"/>
    </row>
    <row r="761" ht="14.25" customHeight="1">
      <c r="A761" s="25"/>
      <c r="F761" s="26"/>
    </row>
    <row r="762" ht="14.25" customHeight="1">
      <c r="A762" s="25"/>
      <c r="F762" s="26"/>
    </row>
    <row r="763" ht="14.25" customHeight="1">
      <c r="A763" s="25"/>
      <c r="F763" s="26"/>
    </row>
    <row r="764" ht="14.25" customHeight="1">
      <c r="A764" s="25"/>
      <c r="F764" s="26"/>
    </row>
    <row r="765" ht="14.25" customHeight="1">
      <c r="A765" s="25"/>
      <c r="F765" s="26"/>
    </row>
    <row r="766" ht="14.25" customHeight="1">
      <c r="A766" s="25"/>
      <c r="F766" s="26"/>
    </row>
    <row r="767" ht="14.25" customHeight="1">
      <c r="A767" s="25"/>
      <c r="F767" s="26"/>
    </row>
    <row r="768" ht="14.25" customHeight="1">
      <c r="A768" s="25"/>
      <c r="F768" s="26"/>
    </row>
    <row r="769" ht="14.25" customHeight="1">
      <c r="A769" s="25"/>
      <c r="F769" s="26"/>
    </row>
    <row r="770" ht="14.25" customHeight="1">
      <c r="A770" s="25"/>
      <c r="F770" s="26"/>
    </row>
    <row r="771" ht="14.25" customHeight="1">
      <c r="A771" s="25"/>
      <c r="F771" s="26"/>
    </row>
    <row r="772" ht="14.25" customHeight="1">
      <c r="A772" s="25"/>
      <c r="F772" s="26"/>
    </row>
    <row r="773" ht="14.25" customHeight="1">
      <c r="A773" s="25"/>
      <c r="F773" s="26"/>
    </row>
    <row r="774" ht="14.25" customHeight="1">
      <c r="A774" s="25"/>
      <c r="F774" s="26"/>
    </row>
    <row r="775" ht="14.25" customHeight="1">
      <c r="A775" s="25"/>
      <c r="F775" s="26"/>
    </row>
    <row r="776" ht="14.25" customHeight="1">
      <c r="A776" s="25"/>
      <c r="F776" s="26"/>
    </row>
    <row r="777" ht="14.25" customHeight="1">
      <c r="A777" s="25"/>
      <c r="F777" s="26"/>
    </row>
    <row r="778" ht="14.25" customHeight="1">
      <c r="A778" s="25"/>
      <c r="F778" s="26"/>
    </row>
    <row r="779" ht="14.25" customHeight="1">
      <c r="A779" s="25"/>
      <c r="F779" s="26"/>
    </row>
    <row r="780" ht="14.25" customHeight="1">
      <c r="A780" s="25"/>
      <c r="F780" s="26"/>
    </row>
    <row r="781" ht="14.25" customHeight="1">
      <c r="A781" s="25"/>
      <c r="F781" s="26"/>
    </row>
    <row r="782" ht="14.25" customHeight="1">
      <c r="A782" s="25"/>
      <c r="F782" s="26"/>
    </row>
    <row r="783" ht="14.25" customHeight="1">
      <c r="A783" s="25"/>
      <c r="F783" s="26"/>
    </row>
    <row r="784" ht="14.25" customHeight="1">
      <c r="A784" s="25"/>
      <c r="F784" s="26"/>
    </row>
    <row r="785" ht="14.25" customHeight="1">
      <c r="A785" s="25"/>
      <c r="F785" s="26"/>
    </row>
    <row r="786" ht="14.25" customHeight="1">
      <c r="A786" s="25"/>
      <c r="F786" s="26"/>
    </row>
    <row r="787" ht="14.25" customHeight="1">
      <c r="A787" s="25"/>
      <c r="F787" s="26"/>
    </row>
    <row r="788" ht="14.25" customHeight="1">
      <c r="A788" s="25"/>
      <c r="F788" s="26"/>
    </row>
    <row r="789" ht="14.25" customHeight="1">
      <c r="A789" s="25"/>
      <c r="F789" s="26"/>
    </row>
    <row r="790" ht="14.25" customHeight="1">
      <c r="A790" s="25"/>
      <c r="F790" s="26"/>
    </row>
    <row r="791" ht="14.25" customHeight="1">
      <c r="A791" s="25"/>
      <c r="F791" s="26"/>
    </row>
    <row r="792" ht="14.25" customHeight="1">
      <c r="A792" s="25"/>
      <c r="F792" s="26"/>
    </row>
    <row r="793" ht="14.25" customHeight="1">
      <c r="A793" s="25"/>
      <c r="F793" s="26"/>
    </row>
    <row r="794" ht="14.25" customHeight="1">
      <c r="A794" s="25"/>
      <c r="F794" s="26"/>
    </row>
    <row r="795" ht="14.25" customHeight="1">
      <c r="A795" s="25"/>
      <c r="F795" s="26"/>
    </row>
    <row r="796" ht="14.25" customHeight="1">
      <c r="A796" s="25"/>
      <c r="F796" s="26"/>
    </row>
    <row r="797" ht="14.25" customHeight="1">
      <c r="A797" s="25"/>
      <c r="F797" s="26"/>
    </row>
    <row r="798" ht="14.25" customHeight="1">
      <c r="A798" s="25"/>
      <c r="F798" s="26"/>
    </row>
    <row r="799" ht="14.25" customHeight="1">
      <c r="A799" s="25"/>
      <c r="F799" s="26"/>
    </row>
    <row r="800" ht="14.25" customHeight="1">
      <c r="A800" s="25"/>
      <c r="F800" s="26"/>
    </row>
    <row r="801" ht="14.25" customHeight="1">
      <c r="A801" s="25"/>
      <c r="F801" s="26"/>
    </row>
    <row r="802" ht="14.25" customHeight="1">
      <c r="A802" s="25"/>
      <c r="F802" s="26"/>
    </row>
    <row r="803" ht="14.25" customHeight="1">
      <c r="A803" s="25"/>
      <c r="F803" s="26"/>
    </row>
    <row r="804" ht="14.25" customHeight="1">
      <c r="A804" s="25"/>
      <c r="F804" s="26"/>
    </row>
    <row r="805" ht="14.25" customHeight="1">
      <c r="A805" s="25"/>
      <c r="F805" s="26"/>
    </row>
    <row r="806" ht="14.25" customHeight="1">
      <c r="A806" s="25"/>
      <c r="F806" s="26"/>
    </row>
    <row r="807" ht="14.25" customHeight="1">
      <c r="A807" s="25"/>
      <c r="F807" s="26"/>
    </row>
    <row r="808" ht="14.25" customHeight="1">
      <c r="A808" s="25"/>
      <c r="F808" s="26"/>
    </row>
    <row r="809" ht="14.25" customHeight="1">
      <c r="A809" s="25"/>
      <c r="F809" s="26"/>
    </row>
    <row r="810" ht="14.25" customHeight="1">
      <c r="A810" s="25"/>
      <c r="F810" s="26"/>
    </row>
    <row r="811" ht="14.25" customHeight="1">
      <c r="A811" s="25"/>
      <c r="F811" s="26"/>
    </row>
    <row r="812" ht="14.25" customHeight="1">
      <c r="A812" s="25"/>
      <c r="F812" s="26"/>
    </row>
    <row r="813" ht="14.25" customHeight="1">
      <c r="A813" s="25"/>
      <c r="F813" s="26"/>
    </row>
    <row r="814" ht="14.25" customHeight="1">
      <c r="A814" s="25"/>
      <c r="F814" s="26"/>
    </row>
    <row r="815" ht="14.25" customHeight="1">
      <c r="A815" s="25"/>
      <c r="F815" s="26"/>
    </row>
    <row r="816" ht="14.25" customHeight="1">
      <c r="A816" s="25"/>
      <c r="F816" s="26"/>
    </row>
    <row r="817" ht="14.25" customHeight="1">
      <c r="A817" s="25"/>
      <c r="F817" s="26"/>
    </row>
    <row r="818" ht="14.25" customHeight="1">
      <c r="A818" s="25"/>
      <c r="F818" s="26"/>
    </row>
    <row r="819" ht="14.25" customHeight="1">
      <c r="A819" s="25"/>
      <c r="F819" s="26"/>
    </row>
    <row r="820" ht="14.25" customHeight="1">
      <c r="A820" s="25"/>
      <c r="F820" s="26"/>
    </row>
    <row r="821" ht="14.25" customHeight="1">
      <c r="A821" s="25"/>
      <c r="F821" s="26"/>
    </row>
    <row r="822" ht="14.25" customHeight="1">
      <c r="A822" s="25"/>
      <c r="F822" s="26"/>
    </row>
    <row r="823" ht="14.25" customHeight="1">
      <c r="A823" s="25"/>
      <c r="F823" s="26"/>
    </row>
    <row r="824" ht="14.25" customHeight="1">
      <c r="A824" s="25"/>
      <c r="F824" s="26"/>
    </row>
    <row r="825" ht="14.25" customHeight="1">
      <c r="A825" s="25"/>
      <c r="F825" s="26"/>
    </row>
    <row r="826" ht="14.25" customHeight="1">
      <c r="A826" s="25"/>
      <c r="F826" s="26"/>
    </row>
    <row r="827" ht="14.25" customHeight="1">
      <c r="A827" s="25"/>
      <c r="F827" s="26"/>
    </row>
    <row r="828" ht="14.25" customHeight="1">
      <c r="A828" s="25"/>
      <c r="F828" s="26"/>
    </row>
    <row r="829" ht="14.25" customHeight="1">
      <c r="A829" s="25"/>
      <c r="F829" s="26"/>
    </row>
    <row r="830" ht="14.25" customHeight="1">
      <c r="A830" s="25"/>
      <c r="F830" s="26"/>
    </row>
    <row r="831" ht="14.25" customHeight="1">
      <c r="A831" s="25"/>
      <c r="F831" s="26"/>
    </row>
    <row r="832" ht="14.25" customHeight="1">
      <c r="A832" s="25"/>
      <c r="F832" s="26"/>
    </row>
    <row r="833" ht="14.25" customHeight="1">
      <c r="A833" s="25"/>
      <c r="F833" s="26"/>
    </row>
    <row r="834" ht="14.25" customHeight="1">
      <c r="A834" s="25"/>
      <c r="F834" s="26"/>
    </row>
    <row r="835" ht="14.25" customHeight="1">
      <c r="A835" s="25"/>
      <c r="F835" s="26"/>
    </row>
    <row r="836" ht="14.25" customHeight="1">
      <c r="A836" s="25"/>
      <c r="F836" s="26"/>
    </row>
    <row r="837" ht="14.25" customHeight="1">
      <c r="A837" s="25"/>
      <c r="F837" s="26"/>
    </row>
    <row r="838" ht="14.25" customHeight="1">
      <c r="A838" s="25"/>
      <c r="F838" s="26"/>
    </row>
    <row r="839" ht="14.25" customHeight="1">
      <c r="A839" s="25"/>
      <c r="F839" s="26"/>
    </row>
    <row r="840" ht="14.25" customHeight="1">
      <c r="A840" s="25"/>
      <c r="F840" s="26"/>
    </row>
    <row r="841" ht="14.25" customHeight="1">
      <c r="A841" s="25"/>
      <c r="F841" s="26"/>
    </row>
    <row r="842" ht="14.25" customHeight="1">
      <c r="A842" s="25"/>
      <c r="F842" s="26"/>
    </row>
    <row r="843" ht="14.25" customHeight="1">
      <c r="A843" s="25"/>
      <c r="F843" s="26"/>
    </row>
    <row r="844" ht="14.25" customHeight="1">
      <c r="A844" s="25"/>
      <c r="F844" s="26"/>
    </row>
    <row r="845" ht="14.25" customHeight="1">
      <c r="A845" s="25"/>
      <c r="F845" s="26"/>
    </row>
    <row r="846" ht="14.25" customHeight="1">
      <c r="A846" s="25"/>
      <c r="F846" s="26"/>
    </row>
    <row r="847" ht="14.25" customHeight="1">
      <c r="A847" s="25"/>
      <c r="F847" s="26"/>
    </row>
    <row r="848" ht="14.25" customHeight="1">
      <c r="A848" s="25"/>
      <c r="F848" s="26"/>
    </row>
    <row r="849" ht="14.25" customHeight="1">
      <c r="A849" s="25"/>
      <c r="F849" s="26"/>
    </row>
    <row r="850" ht="14.25" customHeight="1">
      <c r="A850" s="25"/>
      <c r="F850" s="26"/>
    </row>
    <row r="851" ht="14.25" customHeight="1">
      <c r="A851" s="25"/>
      <c r="F851" s="26"/>
    </row>
    <row r="852" ht="14.25" customHeight="1">
      <c r="A852" s="25"/>
      <c r="F852" s="26"/>
    </row>
    <row r="853" ht="14.25" customHeight="1">
      <c r="A853" s="25"/>
      <c r="F853" s="26"/>
    </row>
    <row r="854" ht="14.25" customHeight="1">
      <c r="A854" s="25"/>
      <c r="F854" s="26"/>
    </row>
    <row r="855" ht="14.25" customHeight="1">
      <c r="A855" s="25"/>
      <c r="F855" s="26"/>
    </row>
    <row r="856" ht="14.25" customHeight="1">
      <c r="A856" s="25"/>
      <c r="F856" s="26"/>
    </row>
    <row r="857" ht="14.25" customHeight="1">
      <c r="A857" s="25"/>
      <c r="F857" s="26"/>
    </row>
    <row r="858" ht="14.25" customHeight="1">
      <c r="A858" s="25"/>
      <c r="F858" s="26"/>
    </row>
    <row r="859" ht="14.25" customHeight="1">
      <c r="A859" s="25"/>
      <c r="F859" s="26"/>
    </row>
    <row r="860" ht="14.25" customHeight="1">
      <c r="A860" s="25"/>
      <c r="F860" s="26"/>
    </row>
    <row r="861" ht="14.25" customHeight="1">
      <c r="A861" s="25"/>
      <c r="F861" s="26"/>
    </row>
    <row r="862" ht="14.25" customHeight="1">
      <c r="A862" s="25"/>
      <c r="F862" s="26"/>
    </row>
    <row r="863" ht="14.25" customHeight="1">
      <c r="A863" s="25"/>
      <c r="F863" s="26"/>
    </row>
    <row r="864" ht="14.25" customHeight="1">
      <c r="A864" s="25"/>
      <c r="F864" s="26"/>
    </row>
    <row r="865" ht="14.25" customHeight="1">
      <c r="A865" s="25"/>
      <c r="F865" s="26"/>
    </row>
    <row r="866" ht="14.25" customHeight="1">
      <c r="A866" s="25"/>
      <c r="F866" s="26"/>
    </row>
    <row r="867" ht="14.25" customHeight="1">
      <c r="A867" s="25"/>
      <c r="F867" s="26"/>
    </row>
    <row r="868" ht="14.25" customHeight="1">
      <c r="A868" s="25"/>
      <c r="F868" s="26"/>
    </row>
    <row r="869" ht="14.25" customHeight="1">
      <c r="A869" s="25"/>
      <c r="F869" s="26"/>
    </row>
    <row r="870" ht="14.25" customHeight="1">
      <c r="A870" s="25"/>
      <c r="F870" s="26"/>
    </row>
    <row r="871" ht="14.25" customHeight="1">
      <c r="A871" s="25"/>
      <c r="F871" s="26"/>
    </row>
    <row r="872" ht="14.25" customHeight="1">
      <c r="A872" s="25"/>
      <c r="F872" s="26"/>
    </row>
    <row r="873" ht="14.25" customHeight="1">
      <c r="A873" s="25"/>
      <c r="F873" s="26"/>
    </row>
    <row r="874" ht="14.25" customHeight="1">
      <c r="A874" s="25"/>
      <c r="F874" s="26"/>
    </row>
    <row r="875" ht="14.25" customHeight="1">
      <c r="A875" s="25"/>
      <c r="F875" s="26"/>
    </row>
    <row r="876" ht="14.25" customHeight="1">
      <c r="A876" s="25"/>
      <c r="F876" s="26"/>
    </row>
    <row r="877" ht="14.25" customHeight="1">
      <c r="A877" s="25"/>
      <c r="F877" s="26"/>
    </row>
    <row r="878" ht="14.25" customHeight="1">
      <c r="A878" s="25"/>
      <c r="F878" s="26"/>
    </row>
    <row r="879" ht="14.25" customHeight="1">
      <c r="A879" s="25"/>
      <c r="F879" s="26"/>
    </row>
    <row r="880" ht="14.25" customHeight="1">
      <c r="A880" s="25"/>
      <c r="F880" s="26"/>
    </row>
    <row r="881" ht="14.25" customHeight="1">
      <c r="A881" s="25"/>
      <c r="F881" s="26"/>
    </row>
    <row r="882" ht="14.25" customHeight="1">
      <c r="A882" s="25"/>
      <c r="F882" s="26"/>
    </row>
    <row r="883" ht="14.25" customHeight="1">
      <c r="A883" s="25"/>
      <c r="F883" s="26"/>
    </row>
    <row r="884" ht="14.25" customHeight="1">
      <c r="A884" s="25"/>
      <c r="F884" s="26"/>
    </row>
    <row r="885" ht="14.25" customHeight="1">
      <c r="A885" s="25"/>
      <c r="F885" s="26"/>
    </row>
    <row r="886" ht="14.25" customHeight="1">
      <c r="A886" s="25"/>
      <c r="F886" s="26"/>
    </row>
    <row r="887" ht="14.25" customHeight="1">
      <c r="A887" s="25"/>
      <c r="F887" s="26"/>
    </row>
    <row r="888" ht="14.25" customHeight="1">
      <c r="A888" s="25"/>
      <c r="F888" s="26"/>
    </row>
    <row r="889" ht="14.25" customHeight="1">
      <c r="A889" s="25"/>
      <c r="F889" s="26"/>
    </row>
    <row r="890" ht="14.25" customHeight="1">
      <c r="A890" s="25"/>
      <c r="F890" s="26"/>
    </row>
    <row r="891" ht="14.25" customHeight="1">
      <c r="A891" s="25"/>
      <c r="F891" s="26"/>
    </row>
    <row r="892" ht="14.25" customHeight="1">
      <c r="A892" s="25"/>
      <c r="F892" s="26"/>
    </row>
    <row r="893" ht="14.25" customHeight="1">
      <c r="A893" s="25"/>
      <c r="F893" s="26"/>
    </row>
    <row r="894" ht="14.25" customHeight="1">
      <c r="A894" s="25"/>
      <c r="F894" s="26"/>
    </row>
    <row r="895" ht="14.25" customHeight="1">
      <c r="A895" s="25"/>
      <c r="F895" s="26"/>
    </row>
    <row r="896" ht="14.25" customHeight="1">
      <c r="A896" s="25"/>
      <c r="F896" s="26"/>
    </row>
    <row r="897" ht="14.25" customHeight="1">
      <c r="A897" s="25"/>
      <c r="F897" s="26"/>
    </row>
    <row r="898" ht="14.25" customHeight="1">
      <c r="A898" s="25"/>
      <c r="F898" s="26"/>
    </row>
    <row r="899" ht="14.25" customHeight="1">
      <c r="A899" s="25"/>
      <c r="F899" s="26"/>
    </row>
    <row r="900" ht="14.25" customHeight="1">
      <c r="A900" s="25"/>
      <c r="F900" s="26"/>
    </row>
    <row r="901" ht="14.25" customHeight="1">
      <c r="A901" s="25"/>
      <c r="F901" s="26"/>
    </row>
    <row r="902" ht="14.25" customHeight="1">
      <c r="A902" s="25"/>
      <c r="F902" s="26"/>
    </row>
    <row r="903" ht="14.25" customHeight="1">
      <c r="A903" s="25"/>
      <c r="F903" s="26"/>
    </row>
    <row r="904" ht="14.25" customHeight="1">
      <c r="A904" s="25"/>
      <c r="F904" s="26"/>
    </row>
    <row r="905" ht="14.25" customHeight="1">
      <c r="A905" s="25"/>
      <c r="F905" s="26"/>
    </row>
    <row r="906" ht="14.25" customHeight="1">
      <c r="A906" s="25"/>
      <c r="F906" s="26"/>
    </row>
    <row r="907" ht="14.25" customHeight="1">
      <c r="A907" s="25"/>
      <c r="F907" s="26"/>
    </row>
    <row r="908" ht="14.25" customHeight="1">
      <c r="A908" s="25"/>
      <c r="F908" s="26"/>
    </row>
    <row r="909" ht="14.25" customHeight="1">
      <c r="A909" s="25"/>
      <c r="F909" s="26"/>
    </row>
    <row r="910" ht="14.25" customHeight="1">
      <c r="A910" s="25"/>
      <c r="F910" s="26"/>
    </row>
    <row r="911" ht="14.25" customHeight="1">
      <c r="A911" s="25"/>
      <c r="F911" s="26"/>
    </row>
    <row r="912" ht="14.25" customHeight="1">
      <c r="A912" s="25"/>
      <c r="F912" s="26"/>
    </row>
    <row r="913" ht="14.25" customHeight="1">
      <c r="A913" s="25"/>
      <c r="F913" s="26"/>
    </row>
    <row r="914" ht="14.25" customHeight="1">
      <c r="A914" s="25"/>
      <c r="F914" s="26"/>
    </row>
    <row r="915" ht="14.25" customHeight="1">
      <c r="A915" s="25"/>
      <c r="F915" s="26"/>
    </row>
    <row r="916" ht="14.25" customHeight="1">
      <c r="A916" s="25"/>
      <c r="F916" s="26"/>
    </row>
    <row r="917" ht="14.25" customHeight="1">
      <c r="A917" s="25"/>
      <c r="F917" s="26"/>
    </row>
    <row r="918" ht="14.25" customHeight="1">
      <c r="A918" s="25"/>
      <c r="F918" s="26"/>
    </row>
    <row r="919" ht="14.25" customHeight="1">
      <c r="A919" s="25"/>
      <c r="F919" s="26"/>
    </row>
    <row r="920" ht="14.25" customHeight="1">
      <c r="A920" s="25"/>
      <c r="F920" s="26"/>
    </row>
    <row r="921" ht="14.25" customHeight="1">
      <c r="A921" s="25"/>
      <c r="F921" s="26"/>
    </row>
    <row r="922" ht="14.25" customHeight="1">
      <c r="A922" s="25"/>
      <c r="F922" s="26"/>
    </row>
    <row r="923" ht="14.25" customHeight="1">
      <c r="A923" s="25"/>
      <c r="F923" s="26"/>
    </row>
    <row r="924" ht="14.25" customHeight="1">
      <c r="A924" s="25"/>
      <c r="F924" s="26"/>
    </row>
    <row r="925" ht="14.25" customHeight="1">
      <c r="A925" s="25"/>
      <c r="F925" s="26"/>
    </row>
    <row r="926" ht="14.25" customHeight="1">
      <c r="A926" s="25"/>
      <c r="F926" s="26"/>
    </row>
    <row r="927" ht="14.25" customHeight="1">
      <c r="A927" s="25"/>
      <c r="F927" s="26"/>
    </row>
    <row r="928" ht="14.25" customHeight="1">
      <c r="A928" s="25"/>
      <c r="F928" s="26"/>
    </row>
    <row r="929" ht="14.25" customHeight="1">
      <c r="A929" s="25"/>
      <c r="F929" s="26"/>
    </row>
    <row r="930" ht="14.25" customHeight="1">
      <c r="A930" s="25"/>
      <c r="F930" s="26"/>
    </row>
    <row r="931" ht="14.25" customHeight="1">
      <c r="A931" s="25"/>
      <c r="F931" s="26"/>
    </row>
    <row r="932" ht="14.25" customHeight="1">
      <c r="A932" s="25"/>
      <c r="F932" s="26"/>
    </row>
    <row r="933" ht="14.25" customHeight="1">
      <c r="A933" s="25"/>
      <c r="F933" s="26"/>
    </row>
    <row r="934" ht="14.25" customHeight="1">
      <c r="A934" s="25"/>
      <c r="F934" s="26"/>
    </row>
    <row r="935" ht="14.25" customHeight="1">
      <c r="A935" s="25"/>
      <c r="F935" s="26"/>
    </row>
    <row r="936" ht="14.25" customHeight="1">
      <c r="A936" s="25"/>
      <c r="F936" s="26"/>
    </row>
    <row r="937" ht="14.25" customHeight="1">
      <c r="A937" s="25"/>
      <c r="F937" s="26"/>
    </row>
    <row r="938" ht="14.25" customHeight="1">
      <c r="A938" s="25"/>
      <c r="F938" s="26"/>
    </row>
    <row r="939" ht="14.25" customHeight="1">
      <c r="A939" s="25"/>
      <c r="F939" s="26"/>
    </row>
    <row r="940" ht="14.25" customHeight="1">
      <c r="A940" s="25"/>
      <c r="F940" s="26"/>
    </row>
    <row r="941" ht="14.25" customHeight="1">
      <c r="A941" s="25"/>
      <c r="F941" s="26"/>
    </row>
    <row r="942" ht="14.25" customHeight="1">
      <c r="A942" s="25"/>
      <c r="F942" s="26"/>
    </row>
    <row r="943" ht="14.25" customHeight="1">
      <c r="A943" s="25"/>
      <c r="F943" s="26"/>
    </row>
    <row r="944" ht="14.25" customHeight="1">
      <c r="A944" s="25"/>
      <c r="F944" s="26"/>
    </row>
    <row r="945" ht="14.25" customHeight="1">
      <c r="A945" s="25"/>
      <c r="F945" s="26"/>
    </row>
    <row r="946" ht="14.25" customHeight="1">
      <c r="A946" s="25"/>
      <c r="F946" s="26"/>
    </row>
    <row r="947" ht="14.25" customHeight="1">
      <c r="A947" s="25"/>
      <c r="F947" s="26"/>
    </row>
    <row r="948" ht="14.25" customHeight="1">
      <c r="A948" s="25"/>
      <c r="F948" s="26"/>
    </row>
    <row r="949" ht="14.25" customHeight="1">
      <c r="A949" s="25"/>
      <c r="F949" s="26"/>
    </row>
    <row r="950" ht="14.25" customHeight="1">
      <c r="A950" s="25"/>
      <c r="F950" s="26"/>
    </row>
    <row r="951" ht="14.25" customHeight="1">
      <c r="A951" s="25"/>
      <c r="F951" s="26"/>
    </row>
    <row r="952" ht="14.25" customHeight="1">
      <c r="A952" s="25"/>
      <c r="F952" s="26"/>
    </row>
    <row r="953" ht="14.25" customHeight="1">
      <c r="A953" s="25"/>
      <c r="F953" s="26"/>
    </row>
    <row r="954" ht="14.25" customHeight="1">
      <c r="A954" s="25"/>
      <c r="F954" s="26"/>
    </row>
    <row r="955" ht="14.25" customHeight="1">
      <c r="A955" s="25"/>
      <c r="F955" s="26"/>
    </row>
    <row r="956" ht="14.25" customHeight="1">
      <c r="A956" s="25"/>
      <c r="F956" s="26"/>
    </row>
    <row r="957" ht="14.25" customHeight="1">
      <c r="A957" s="25"/>
      <c r="F957" s="26"/>
    </row>
    <row r="958" ht="14.25" customHeight="1">
      <c r="A958" s="25"/>
      <c r="F958" s="26"/>
    </row>
    <row r="959" ht="14.25" customHeight="1">
      <c r="A959" s="25"/>
      <c r="F959" s="26"/>
    </row>
    <row r="960" ht="14.25" customHeight="1">
      <c r="A960" s="25"/>
      <c r="F960" s="26"/>
    </row>
    <row r="961" ht="14.25" customHeight="1">
      <c r="A961" s="25"/>
      <c r="F961" s="26"/>
    </row>
    <row r="962" ht="14.25" customHeight="1">
      <c r="A962" s="25"/>
      <c r="F962" s="26"/>
    </row>
    <row r="963" ht="14.25" customHeight="1">
      <c r="A963" s="25"/>
      <c r="F963" s="26"/>
    </row>
    <row r="964" ht="14.25" customHeight="1">
      <c r="A964" s="25"/>
      <c r="F964" s="26"/>
    </row>
    <row r="965" ht="14.25" customHeight="1">
      <c r="A965" s="25"/>
      <c r="F965" s="26"/>
    </row>
    <row r="966" ht="14.25" customHeight="1">
      <c r="A966" s="25"/>
      <c r="F966" s="26"/>
    </row>
    <row r="967" ht="14.25" customHeight="1">
      <c r="A967" s="25"/>
      <c r="F967" s="26"/>
    </row>
    <row r="968" ht="14.25" customHeight="1">
      <c r="A968" s="25"/>
      <c r="F968" s="26"/>
    </row>
    <row r="969" ht="14.25" customHeight="1">
      <c r="A969" s="25"/>
      <c r="F969" s="26"/>
    </row>
    <row r="970" ht="14.25" customHeight="1">
      <c r="A970" s="25"/>
      <c r="F970" s="26"/>
    </row>
    <row r="971" ht="14.25" customHeight="1">
      <c r="A971" s="25"/>
      <c r="F971" s="26"/>
    </row>
    <row r="972" ht="14.25" customHeight="1">
      <c r="A972" s="25"/>
      <c r="F972" s="26"/>
    </row>
    <row r="973" ht="14.25" customHeight="1">
      <c r="A973" s="25"/>
      <c r="F973" s="26"/>
    </row>
    <row r="974" ht="14.25" customHeight="1">
      <c r="A974" s="25"/>
      <c r="F974" s="26"/>
    </row>
    <row r="975" ht="14.25" customHeight="1">
      <c r="A975" s="25"/>
      <c r="F975" s="26"/>
    </row>
    <row r="976" ht="14.25" customHeight="1">
      <c r="A976" s="25"/>
      <c r="F976" s="26"/>
    </row>
    <row r="977" ht="14.25" customHeight="1">
      <c r="A977" s="25"/>
      <c r="F977" s="26"/>
    </row>
    <row r="978" ht="14.25" customHeight="1">
      <c r="A978" s="25"/>
      <c r="F978" s="26"/>
    </row>
    <row r="979" ht="14.25" customHeight="1">
      <c r="A979" s="25"/>
      <c r="F979" s="26"/>
    </row>
    <row r="980" ht="14.25" customHeight="1">
      <c r="A980" s="25"/>
      <c r="F980" s="2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1.25"/>
    <col customWidth="1" min="3" max="3" width="14.38"/>
    <col customWidth="1" min="4" max="5" width="8.25"/>
    <col customWidth="1" min="6" max="6" width="7.13"/>
    <col customWidth="1" min="7" max="7" width="13.25"/>
    <col customWidth="1" min="8" max="9" width="7.13"/>
    <col customWidth="1" min="10" max="10" width="14.75"/>
    <col customWidth="1" min="11" max="11" width="6.88"/>
    <col customWidth="1" min="12" max="12" width="9.75"/>
    <col customWidth="1" min="13" max="13" width="14.38"/>
    <col customWidth="1" min="14" max="15" width="8.25"/>
    <col customWidth="1" min="16" max="16" width="7.13"/>
    <col customWidth="1" min="17" max="17" width="13.25"/>
    <col customWidth="1" min="18" max="18" width="4.38"/>
    <col customWidth="1" min="19" max="19" width="5.13"/>
    <col customWidth="1" min="20" max="20" width="7.75"/>
    <col customWidth="1" min="21" max="21" width="6.88"/>
    <col customWidth="1" min="22" max="22" width="9.75"/>
    <col customWidth="1" min="23" max="23" width="14.38"/>
    <col customWidth="1" min="24" max="25" width="8.25"/>
    <col customWidth="1" min="26" max="26" width="7.13"/>
    <col customWidth="1" min="27" max="27" width="13.5"/>
    <col customWidth="1" min="28" max="28" width="4.38"/>
    <col customWidth="1" min="29" max="29" width="5.13"/>
    <col customWidth="1" min="30" max="33" width="7.75"/>
  </cols>
  <sheetData>
    <row r="1" ht="14.25" customHeight="1">
      <c r="A1" s="30" t="s">
        <v>29</v>
      </c>
      <c r="B1" s="31"/>
      <c r="C1" s="31"/>
      <c r="D1" s="31"/>
      <c r="E1" s="32"/>
      <c r="F1" s="31"/>
      <c r="G1" s="31"/>
      <c r="H1" s="31"/>
      <c r="I1" s="31"/>
      <c r="J1" s="31"/>
      <c r="K1" s="30" t="s">
        <v>30</v>
      </c>
      <c r="L1" s="31"/>
      <c r="M1" s="31"/>
      <c r="N1" s="31"/>
      <c r="O1" s="31"/>
      <c r="P1" s="31"/>
      <c r="Q1" s="31"/>
      <c r="R1" s="31"/>
      <c r="S1" s="31"/>
      <c r="T1" s="31"/>
      <c r="U1" s="30" t="s">
        <v>31</v>
      </c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ht="14.25" customHeight="1">
      <c r="A2" s="33" t="s">
        <v>10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11</v>
      </c>
      <c r="G2" s="33" t="s">
        <v>12</v>
      </c>
      <c r="H2" s="33" t="s">
        <v>7</v>
      </c>
      <c r="I2" s="33" t="s">
        <v>8</v>
      </c>
      <c r="J2" s="34"/>
      <c r="K2" s="33" t="s">
        <v>10</v>
      </c>
      <c r="L2" s="33" t="s">
        <v>1</v>
      </c>
      <c r="M2" s="33" t="s">
        <v>2</v>
      </c>
      <c r="N2" s="33" t="s">
        <v>3</v>
      </c>
      <c r="O2" s="33" t="s">
        <v>4</v>
      </c>
      <c r="P2" s="33" t="s">
        <v>11</v>
      </c>
      <c r="Q2" s="33" t="s">
        <v>12</v>
      </c>
      <c r="R2" s="33" t="s">
        <v>7</v>
      </c>
      <c r="S2" s="33" t="s">
        <v>8</v>
      </c>
      <c r="T2" s="31"/>
      <c r="U2" s="33" t="s">
        <v>10</v>
      </c>
      <c r="V2" s="33" t="s">
        <v>1</v>
      </c>
      <c r="W2" s="33" t="s">
        <v>2</v>
      </c>
      <c r="X2" s="33" t="s">
        <v>3</v>
      </c>
      <c r="Y2" s="33" t="s">
        <v>4</v>
      </c>
      <c r="Z2" s="33" t="s">
        <v>11</v>
      </c>
      <c r="AA2" s="33" t="s">
        <v>12</v>
      </c>
      <c r="AB2" s="33" t="s">
        <v>7</v>
      </c>
      <c r="AC2" s="33" t="s">
        <v>8</v>
      </c>
      <c r="AD2" s="31"/>
      <c r="AE2" s="31"/>
      <c r="AF2" s="31"/>
      <c r="AG2" s="31"/>
    </row>
    <row r="3" ht="14.25" customHeight="1">
      <c r="A3" s="35" t="s">
        <v>15</v>
      </c>
      <c r="B3" s="36">
        <v>2842.0</v>
      </c>
      <c r="C3" s="36">
        <v>3593.0</v>
      </c>
      <c r="D3" s="36">
        <v>1.8866045E7</v>
      </c>
      <c r="E3" s="37">
        <v>9389215.0</v>
      </c>
      <c r="F3" s="38">
        <f t="shared" ref="F3:F16" si="2">C3/$C$3</f>
        <v>1</v>
      </c>
      <c r="G3" s="39">
        <f t="shared" ref="G3:G16" si="3">D3/B3</f>
        <v>6638.298733</v>
      </c>
      <c r="H3" s="40">
        <f t="shared" ref="H3:I3" si="1">C3/B3</f>
        <v>1.264250528</v>
      </c>
      <c r="I3" s="39">
        <f t="shared" si="1"/>
        <v>5250.777901</v>
      </c>
      <c r="J3" s="31"/>
      <c r="K3" s="41"/>
      <c r="L3" s="36"/>
      <c r="M3" s="36"/>
      <c r="N3" s="36">
        <v>0.0</v>
      </c>
      <c r="O3" s="36">
        <v>0.0</v>
      </c>
      <c r="P3" s="38"/>
      <c r="Q3" s="40"/>
      <c r="R3" s="40"/>
      <c r="S3" s="40"/>
      <c r="T3" s="31"/>
      <c r="U3" s="41"/>
      <c r="V3" s="36"/>
      <c r="W3" s="36"/>
      <c r="X3" s="36">
        <v>0.0</v>
      </c>
      <c r="Y3" s="36">
        <v>0.0</v>
      </c>
      <c r="Z3" s="38"/>
      <c r="AA3" s="40"/>
      <c r="AB3" s="40"/>
      <c r="AC3" s="40"/>
      <c r="AD3" s="31"/>
      <c r="AE3" s="31"/>
      <c r="AF3" s="31"/>
      <c r="AG3" s="31"/>
    </row>
    <row r="4" ht="14.25" customHeight="1">
      <c r="A4" s="35" t="s">
        <v>16</v>
      </c>
      <c r="B4" s="36">
        <v>529.0</v>
      </c>
      <c r="C4" s="36">
        <v>818.0</v>
      </c>
      <c r="D4" s="36">
        <v>4377010.0</v>
      </c>
      <c r="E4" s="37">
        <v>2173325.0</v>
      </c>
      <c r="F4" s="38">
        <f t="shared" si="2"/>
        <v>0.227664904</v>
      </c>
      <c r="G4" s="39">
        <f t="shared" si="3"/>
        <v>8274.120983</v>
      </c>
      <c r="H4" s="40">
        <f t="shared" ref="H4:I4" si="4">C4/B4</f>
        <v>1.5463138</v>
      </c>
      <c r="I4" s="39">
        <f t="shared" si="4"/>
        <v>5350.867971</v>
      </c>
      <c r="J4" s="31"/>
      <c r="K4" s="35" t="s">
        <v>16</v>
      </c>
      <c r="L4" s="36">
        <v>6161.0</v>
      </c>
      <c r="M4" s="36">
        <v>7980.0</v>
      </c>
      <c r="N4" s="36">
        <v>5.0815985E7</v>
      </c>
      <c r="O4" s="36">
        <v>2.616405E7</v>
      </c>
      <c r="P4" s="38">
        <f t="shared" ref="P4:P16" si="7">L4/$L$4</f>
        <v>1</v>
      </c>
      <c r="Q4" s="39">
        <f t="shared" ref="Q4:Q16" si="8">N4/L4</f>
        <v>8248.009252</v>
      </c>
      <c r="R4" s="40">
        <f t="shared" ref="R4:S4" si="5">M4/L4</f>
        <v>1.295244279</v>
      </c>
      <c r="S4" s="39">
        <f t="shared" si="5"/>
        <v>6367.91792</v>
      </c>
      <c r="T4" s="31"/>
      <c r="U4" s="41"/>
      <c r="V4" s="36"/>
      <c r="W4" s="36"/>
      <c r="X4" s="36">
        <v>0.0</v>
      </c>
      <c r="Y4" s="36">
        <v>0.0</v>
      </c>
      <c r="Z4" s="38"/>
      <c r="AA4" s="40"/>
      <c r="AB4" s="40"/>
      <c r="AC4" s="40"/>
      <c r="AD4" s="31"/>
      <c r="AE4" s="31"/>
      <c r="AF4" s="31"/>
      <c r="AG4" s="31"/>
    </row>
    <row r="5" ht="14.25" customHeight="1">
      <c r="A5" s="35" t="s">
        <v>17</v>
      </c>
      <c r="B5" s="36">
        <v>237.0</v>
      </c>
      <c r="C5" s="36">
        <v>325.0</v>
      </c>
      <c r="D5" s="36">
        <v>1908940.0</v>
      </c>
      <c r="E5" s="37">
        <v>942755.0</v>
      </c>
      <c r="F5" s="38">
        <f t="shared" si="2"/>
        <v>0.09045365989</v>
      </c>
      <c r="G5" s="39">
        <f t="shared" si="3"/>
        <v>8054.599156</v>
      </c>
      <c r="H5" s="40">
        <f t="shared" ref="H5:I5" si="6">C5/B5</f>
        <v>1.371308017</v>
      </c>
      <c r="I5" s="39">
        <f t="shared" si="6"/>
        <v>5873.661538</v>
      </c>
      <c r="J5" s="31"/>
      <c r="K5" s="35" t="s">
        <v>17</v>
      </c>
      <c r="L5" s="36">
        <v>619.0</v>
      </c>
      <c r="M5" s="36">
        <v>939.0</v>
      </c>
      <c r="N5" s="36">
        <v>5396435.0</v>
      </c>
      <c r="O5" s="36">
        <v>2596110.0</v>
      </c>
      <c r="P5" s="38">
        <f t="shared" si="7"/>
        <v>0.1004707028</v>
      </c>
      <c r="Q5" s="39">
        <f t="shared" si="8"/>
        <v>8717.988691</v>
      </c>
      <c r="R5" s="40">
        <f t="shared" ref="R5:S5" si="9">M5/L5</f>
        <v>1.516962843</v>
      </c>
      <c r="S5" s="39">
        <f t="shared" si="9"/>
        <v>5747.00213</v>
      </c>
      <c r="T5" s="31"/>
      <c r="U5" s="41"/>
      <c r="V5" s="36"/>
      <c r="W5" s="36"/>
      <c r="X5" s="36">
        <v>0.0</v>
      </c>
      <c r="Y5" s="36">
        <v>0.0</v>
      </c>
      <c r="Z5" s="38"/>
      <c r="AA5" s="40"/>
      <c r="AB5" s="40"/>
      <c r="AC5" s="40"/>
      <c r="AD5" s="31"/>
      <c r="AE5" s="31"/>
      <c r="AF5" s="31"/>
      <c r="AG5" s="31"/>
    </row>
    <row r="6" ht="14.25" customHeight="1">
      <c r="A6" s="35" t="s">
        <v>18</v>
      </c>
      <c r="B6" s="36">
        <v>318.0</v>
      </c>
      <c r="C6" s="36">
        <v>467.0</v>
      </c>
      <c r="D6" s="36">
        <v>2357300.0</v>
      </c>
      <c r="E6" s="37">
        <v>1154450.0</v>
      </c>
      <c r="F6" s="38">
        <f t="shared" si="2"/>
        <v>0.1299749513</v>
      </c>
      <c r="G6" s="39">
        <f t="shared" si="3"/>
        <v>7412.893082</v>
      </c>
      <c r="H6" s="40">
        <f t="shared" ref="H6:I6" si="10">C6/B6</f>
        <v>1.468553459</v>
      </c>
      <c r="I6" s="39">
        <f t="shared" si="10"/>
        <v>5047.751606</v>
      </c>
      <c r="J6" s="31"/>
      <c r="K6" s="35" t="s">
        <v>18</v>
      </c>
      <c r="L6" s="36">
        <v>546.0</v>
      </c>
      <c r="M6" s="36">
        <v>855.0</v>
      </c>
      <c r="N6" s="36">
        <v>4014505.0</v>
      </c>
      <c r="O6" s="36">
        <v>1990010.0</v>
      </c>
      <c r="P6" s="38">
        <f t="shared" si="7"/>
        <v>0.08862197695</v>
      </c>
      <c r="Q6" s="39">
        <f t="shared" si="8"/>
        <v>7352.57326</v>
      </c>
      <c r="R6" s="40">
        <f t="shared" ref="R6:S6" si="11">M6/L6</f>
        <v>1.565934066</v>
      </c>
      <c r="S6" s="39">
        <f t="shared" si="11"/>
        <v>4695.327485</v>
      </c>
      <c r="T6" s="31"/>
      <c r="U6" s="41"/>
      <c r="V6" s="36"/>
      <c r="W6" s="36"/>
      <c r="X6" s="36">
        <v>0.0</v>
      </c>
      <c r="Y6" s="36">
        <v>0.0</v>
      </c>
      <c r="Z6" s="38"/>
      <c r="AA6" s="40"/>
      <c r="AB6" s="40"/>
      <c r="AC6" s="40"/>
      <c r="AD6" s="31"/>
      <c r="AE6" s="31"/>
      <c r="AF6" s="31"/>
      <c r="AG6" s="31"/>
    </row>
    <row r="7" ht="14.25" customHeight="1">
      <c r="A7" s="35" t="s">
        <v>19</v>
      </c>
      <c r="B7" s="36">
        <v>317.0</v>
      </c>
      <c r="C7" s="36">
        <v>468.0</v>
      </c>
      <c r="D7" s="36">
        <v>2213530.0</v>
      </c>
      <c r="E7" s="37">
        <v>1063370.0</v>
      </c>
      <c r="F7" s="38">
        <f t="shared" si="2"/>
        <v>0.1302532702</v>
      </c>
      <c r="G7" s="39">
        <f t="shared" si="3"/>
        <v>6982.744479</v>
      </c>
      <c r="H7" s="40">
        <f t="shared" ref="H7:I7" si="12">C7/B7</f>
        <v>1.476340694</v>
      </c>
      <c r="I7" s="39">
        <f t="shared" si="12"/>
        <v>4729.764957</v>
      </c>
      <c r="J7" s="31"/>
      <c r="K7" s="35" t="s">
        <v>19</v>
      </c>
      <c r="L7" s="36">
        <v>451.0</v>
      </c>
      <c r="M7" s="36">
        <v>696.0</v>
      </c>
      <c r="N7" s="36">
        <v>3515930.0</v>
      </c>
      <c r="O7" s="36">
        <v>1742015.0</v>
      </c>
      <c r="P7" s="38">
        <f t="shared" si="7"/>
        <v>0.07320240221</v>
      </c>
      <c r="Q7" s="39">
        <f t="shared" si="8"/>
        <v>7795.853659</v>
      </c>
      <c r="R7" s="40">
        <f t="shared" ref="R7:S7" si="13">M7/L7</f>
        <v>1.543237251</v>
      </c>
      <c r="S7" s="39">
        <f t="shared" si="13"/>
        <v>5051.623563</v>
      </c>
      <c r="T7" s="31"/>
      <c r="U7" s="41"/>
      <c r="V7" s="36"/>
      <c r="W7" s="36"/>
      <c r="X7" s="36">
        <v>0.0</v>
      </c>
      <c r="Y7" s="36">
        <v>0.0</v>
      </c>
      <c r="Z7" s="38"/>
      <c r="AA7" s="40"/>
      <c r="AB7" s="40"/>
      <c r="AC7" s="40"/>
      <c r="AD7" s="31"/>
      <c r="AE7" s="31"/>
      <c r="AF7" s="31"/>
      <c r="AG7" s="31"/>
    </row>
    <row r="8" ht="14.25" customHeight="1">
      <c r="A8" s="35" t="s">
        <v>20</v>
      </c>
      <c r="B8" s="36">
        <v>366.0</v>
      </c>
      <c r="C8" s="36">
        <v>615.0</v>
      </c>
      <c r="D8" s="36">
        <v>3017685.0</v>
      </c>
      <c r="E8" s="37">
        <v>1435610.0</v>
      </c>
      <c r="F8" s="38">
        <f t="shared" si="2"/>
        <v>0.1711661564</v>
      </c>
      <c r="G8" s="39">
        <f t="shared" si="3"/>
        <v>8245.040984</v>
      </c>
      <c r="H8" s="40">
        <f t="shared" ref="H8:I8" si="14">C8/B8</f>
        <v>1.680327869</v>
      </c>
      <c r="I8" s="39">
        <f t="shared" si="14"/>
        <v>4906.804878</v>
      </c>
      <c r="J8" s="31"/>
      <c r="K8" s="35" t="s">
        <v>20</v>
      </c>
      <c r="L8" s="36">
        <v>939.0</v>
      </c>
      <c r="M8" s="36">
        <v>1579.0</v>
      </c>
      <c r="N8" s="36">
        <v>8754185.0</v>
      </c>
      <c r="O8" s="36">
        <v>4264700.0</v>
      </c>
      <c r="P8" s="38">
        <f t="shared" si="7"/>
        <v>0.152410323</v>
      </c>
      <c r="Q8" s="39">
        <f t="shared" si="8"/>
        <v>9322.880724</v>
      </c>
      <c r="R8" s="40">
        <f t="shared" ref="R8:S8" si="15">M8/L8</f>
        <v>1.681576145</v>
      </c>
      <c r="S8" s="39">
        <f t="shared" si="15"/>
        <v>5544.132362</v>
      </c>
      <c r="T8" s="31"/>
      <c r="U8" s="35" t="s">
        <v>20</v>
      </c>
      <c r="V8" s="36">
        <v>5881.0</v>
      </c>
      <c r="W8" s="36">
        <v>7651.0</v>
      </c>
      <c r="X8" s="36">
        <v>4.608989E7</v>
      </c>
      <c r="Y8" s="36">
        <v>2.257783E7</v>
      </c>
      <c r="Z8" s="38">
        <f t="shared" ref="Z8:Z16" si="19">V8/$V$8</f>
        <v>1</v>
      </c>
      <c r="AA8" s="39">
        <f t="shared" ref="AA8:AA16" si="20">X8/V8</f>
        <v>7837.083829</v>
      </c>
      <c r="AB8" s="40">
        <f t="shared" ref="AB8:AC8" si="16">W8/V8</f>
        <v>1.300969223</v>
      </c>
      <c r="AC8" s="42">
        <f t="shared" si="16"/>
        <v>6024.034767</v>
      </c>
      <c r="AD8" s="31"/>
      <c r="AE8" s="31"/>
      <c r="AF8" s="31"/>
      <c r="AG8" s="31"/>
    </row>
    <row r="9" ht="14.25" customHeight="1">
      <c r="A9" s="35" t="s">
        <v>21</v>
      </c>
      <c r="B9" s="36">
        <v>234.0</v>
      </c>
      <c r="C9" s="36">
        <v>339.0</v>
      </c>
      <c r="D9" s="36">
        <v>1575365.0</v>
      </c>
      <c r="E9" s="37">
        <v>740795.0</v>
      </c>
      <c r="F9" s="38">
        <f t="shared" si="2"/>
        <v>0.09435012524</v>
      </c>
      <c r="G9" s="39">
        <f t="shared" si="3"/>
        <v>6732.32906</v>
      </c>
      <c r="H9" s="40">
        <f t="shared" ref="H9:I9" si="17">C9/B9</f>
        <v>1.448717949</v>
      </c>
      <c r="I9" s="39">
        <f t="shared" si="17"/>
        <v>4647.094395</v>
      </c>
      <c r="J9" s="31"/>
      <c r="K9" s="35" t="s">
        <v>21</v>
      </c>
      <c r="L9" s="36">
        <v>418.0</v>
      </c>
      <c r="M9" s="36">
        <v>687.0</v>
      </c>
      <c r="N9" s="36">
        <v>3430020.0</v>
      </c>
      <c r="O9" s="36">
        <v>1596375.0</v>
      </c>
      <c r="P9" s="38">
        <f t="shared" si="7"/>
        <v>0.06784612888</v>
      </c>
      <c r="Q9" s="39">
        <f t="shared" si="8"/>
        <v>8205.789474</v>
      </c>
      <c r="R9" s="40">
        <f t="shared" ref="R9:S9" si="18">M9/L9</f>
        <v>1.64354067</v>
      </c>
      <c r="S9" s="39">
        <f t="shared" si="18"/>
        <v>4992.751092</v>
      </c>
      <c r="T9" s="31"/>
      <c r="U9" s="35" t="s">
        <v>21</v>
      </c>
      <c r="V9" s="36">
        <v>690.0</v>
      </c>
      <c r="W9" s="36">
        <v>1011.0</v>
      </c>
      <c r="X9" s="36">
        <v>5531845.0</v>
      </c>
      <c r="Y9" s="36">
        <v>2540340.0</v>
      </c>
      <c r="Z9" s="38">
        <f t="shared" si="19"/>
        <v>0.1173269852</v>
      </c>
      <c r="AA9" s="39">
        <f t="shared" si="20"/>
        <v>8017.166667</v>
      </c>
      <c r="AB9" s="40">
        <f t="shared" ref="AB9:AC9" si="21">W9/V9</f>
        <v>1.465217391</v>
      </c>
      <c r="AC9" s="42">
        <f t="shared" si="21"/>
        <v>5471.656775</v>
      </c>
      <c r="AD9" s="31"/>
      <c r="AE9" s="31"/>
      <c r="AF9" s="31"/>
      <c r="AG9" s="31"/>
    </row>
    <row r="10" ht="14.25" customHeight="1">
      <c r="A10" s="35" t="s">
        <v>22</v>
      </c>
      <c r="B10" s="36">
        <v>254.0</v>
      </c>
      <c r="C10" s="36">
        <v>408.0</v>
      </c>
      <c r="D10" s="36">
        <v>1804770.0</v>
      </c>
      <c r="E10" s="37">
        <v>868560.0</v>
      </c>
      <c r="F10" s="38">
        <f t="shared" si="2"/>
        <v>0.113554133</v>
      </c>
      <c r="G10" s="39">
        <f t="shared" si="3"/>
        <v>7105.393701</v>
      </c>
      <c r="H10" s="40">
        <f t="shared" ref="H10:I10" si="22">C10/B10</f>
        <v>1.606299213</v>
      </c>
      <c r="I10" s="39">
        <f t="shared" si="22"/>
        <v>4423.455882</v>
      </c>
      <c r="J10" s="31"/>
      <c r="K10" s="35" t="s">
        <v>22</v>
      </c>
      <c r="L10" s="36">
        <v>442.0</v>
      </c>
      <c r="M10" s="36">
        <v>738.0</v>
      </c>
      <c r="N10" s="36">
        <v>3375460.0</v>
      </c>
      <c r="O10" s="36">
        <v>1614635.0</v>
      </c>
      <c r="P10" s="38">
        <f t="shared" si="7"/>
        <v>0.07174160039</v>
      </c>
      <c r="Q10" s="39">
        <f t="shared" si="8"/>
        <v>7636.78733</v>
      </c>
      <c r="R10" s="40">
        <f t="shared" ref="R10:S10" si="23">M10/L10</f>
        <v>1.669683258</v>
      </c>
      <c r="S10" s="39">
        <f t="shared" si="23"/>
        <v>4573.794038</v>
      </c>
      <c r="T10" s="31"/>
      <c r="U10" s="35" t="s">
        <v>22</v>
      </c>
      <c r="V10" s="36">
        <v>473.0</v>
      </c>
      <c r="W10" s="36">
        <v>675.0</v>
      </c>
      <c r="X10" s="36">
        <v>3571370.0</v>
      </c>
      <c r="Y10" s="36">
        <v>1677170.0</v>
      </c>
      <c r="Z10" s="38">
        <f t="shared" si="19"/>
        <v>0.08042849855</v>
      </c>
      <c r="AA10" s="39">
        <f t="shared" si="20"/>
        <v>7550.465116</v>
      </c>
      <c r="AB10" s="40">
        <f t="shared" ref="AB10:AC10" si="24">W10/V10</f>
        <v>1.427061311</v>
      </c>
      <c r="AC10" s="42">
        <f t="shared" si="24"/>
        <v>5290.918519</v>
      </c>
      <c r="AD10" s="31"/>
      <c r="AE10" s="31"/>
      <c r="AF10" s="31"/>
      <c r="AG10" s="31"/>
    </row>
    <row r="11" ht="14.25" customHeight="1">
      <c r="A11" s="35" t="s">
        <v>23</v>
      </c>
      <c r="B11" s="36">
        <v>269.0</v>
      </c>
      <c r="C11" s="36">
        <v>385.0</v>
      </c>
      <c r="D11" s="36">
        <v>1582735.0</v>
      </c>
      <c r="E11" s="37">
        <v>742940.0</v>
      </c>
      <c r="F11" s="38">
        <f t="shared" si="2"/>
        <v>0.1071527971</v>
      </c>
      <c r="G11" s="39">
        <f t="shared" si="3"/>
        <v>5883.773234</v>
      </c>
      <c r="H11" s="40">
        <f t="shared" ref="H11:I11" si="25">C11/B11</f>
        <v>1.431226766</v>
      </c>
      <c r="I11" s="39">
        <f t="shared" si="25"/>
        <v>4111</v>
      </c>
      <c r="J11" s="31"/>
      <c r="K11" s="35" t="s">
        <v>23</v>
      </c>
      <c r="L11" s="36">
        <v>430.0</v>
      </c>
      <c r="M11" s="36">
        <v>731.0</v>
      </c>
      <c r="N11" s="36">
        <v>3476385.0</v>
      </c>
      <c r="O11" s="36">
        <v>1640210.0</v>
      </c>
      <c r="P11" s="38">
        <f t="shared" si="7"/>
        <v>0.06979386463</v>
      </c>
      <c r="Q11" s="39">
        <f t="shared" si="8"/>
        <v>8084.616279</v>
      </c>
      <c r="R11" s="40">
        <f t="shared" ref="R11:S11" si="26">M11/L11</f>
        <v>1.7</v>
      </c>
      <c r="S11" s="39">
        <f t="shared" si="26"/>
        <v>4755.656635</v>
      </c>
      <c r="T11" s="31"/>
      <c r="U11" s="35" t="s">
        <v>23</v>
      </c>
      <c r="V11" s="36">
        <v>420.0</v>
      </c>
      <c r="W11" s="36">
        <v>601.0</v>
      </c>
      <c r="X11" s="36">
        <v>2838000.0</v>
      </c>
      <c r="Y11" s="36">
        <v>1371040.0</v>
      </c>
      <c r="Z11" s="38">
        <f t="shared" si="19"/>
        <v>0.07141642578</v>
      </c>
      <c r="AA11" s="39">
        <f t="shared" si="20"/>
        <v>6757.142857</v>
      </c>
      <c r="AB11" s="40">
        <f t="shared" ref="AB11:AC11" si="27">W11/V11</f>
        <v>1.430952381</v>
      </c>
      <c r="AC11" s="42">
        <f t="shared" si="27"/>
        <v>4722.129784</v>
      </c>
      <c r="AD11" s="31"/>
      <c r="AE11" s="31"/>
      <c r="AF11" s="31"/>
      <c r="AG11" s="31"/>
    </row>
    <row r="12" ht="14.25" customHeight="1">
      <c r="A12" s="35" t="s">
        <v>24</v>
      </c>
      <c r="B12" s="36">
        <v>358.0</v>
      </c>
      <c r="C12" s="36">
        <v>625.0</v>
      </c>
      <c r="D12" s="36">
        <v>3222065.0</v>
      </c>
      <c r="E12" s="37">
        <v>1519155.0</v>
      </c>
      <c r="F12" s="38">
        <f t="shared" si="2"/>
        <v>0.173949346</v>
      </c>
      <c r="G12" s="39">
        <f t="shared" si="3"/>
        <v>9000.181564</v>
      </c>
      <c r="H12" s="40">
        <f t="shared" ref="H12:I12" si="28">C12/B12</f>
        <v>1.745810056</v>
      </c>
      <c r="I12" s="39">
        <f t="shared" si="28"/>
        <v>5155.304</v>
      </c>
      <c r="J12" s="31"/>
      <c r="K12" s="35" t="s">
        <v>24</v>
      </c>
      <c r="L12" s="36">
        <v>885.0</v>
      </c>
      <c r="M12" s="36">
        <v>1542.0</v>
      </c>
      <c r="N12" s="36">
        <v>8510590.0</v>
      </c>
      <c r="O12" s="36">
        <v>4095850.0</v>
      </c>
      <c r="P12" s="38">
        <f t="shared" si="7"/>
        <v>0.1436455121</v>
      </c>
      <c r="Q12" s="39">
        <f t="shared" si="8"/>
        <v>9616.485876</v>
      </c>
      <c r="R12" s="40">
        <f t="shared" ref="R12:S12" si="29">M12/L12</f>
        <v>1.742372881</v>
      </c>
      <c r="S12" s="39">
        <f t="shared" si="29"/>
        <v>5519.189364</v>
      </c>
      <c r="T12" s="31"/>
      <c r="U12" s="35" t="s">
        <v>24</v>
      </c>
      <c r="V12" s="36">
        <v>999.0</v>
      </c>
      <c r="W12" s="36">
        <v>1660.0</v>
      </c>
      <c r="X12" s="36">
        <v>8927160.0</v>
      </c>
      <c r="Y12" s="36">
        <v>4306665.0</v>
      </c>
      <c r="Z12" s="38">
        <f t="shared" si="19"/>
        <v>0.1698690699</v>
      </c>
      <c r="AA12" s="39">
        <f t="shared" si="20"/>
        <v>8936.096096</v>
      </c>
      <c r="AB12" s="40">
        <f t="shared" ref="AB12:AC12" si="30">W12/V12</f>
        <v>1.661661662</v>
      </c>
      <c r="AC12" s="42">
        <f t="shared" si="30"/>
        <v>5377.807229</v>
      </c>
      <c r="AD12" s="31"/>
      <c r="AE12" s="31"/>
      <c r="AF12" s="31"/>
      <c r="AG12" s="31"/>
    </row>
    <row r="13" ht="14.25" customHeight="1">
      <c r="A13" s="35" t="s">
        <v>25</v>
      </c>
      <c r="B13" s="36">
        <v>220.0</v>
      </c>
      <c r="C13" s="36">
        <v>323.0</v>
      </c>
      <c r="D13" s="36">
        <v>1638945.0</v>
      </c>
      <c r="E13" s="37">
        <v>766755.0</v>
      </c>
      <c r="F13" s="38">
        <f t="shared" si="2"/>
        <v>0.08989702199</v>
      </c>
      <c r="G13" s="39">
        <f t="shared" si="3"/>
        <v>7449.75</v>
      </c>
      <c r="H13" s="40">
        <f t="shared" ref="H13:I13" si="31">C13/B13</f>
        <v>1.468181818</v>
      </c>
      <c r="I13" s="39">
        <f t="shared" si="31"/>
        <v>5074.133127</v>
      </c>
      <c r="J13" s="31"/>
      <c r="K13" s="35" t="s">
        <v>25</v>
      </c>
      <c r="L13" s="36">
        <v>381.0</v>
      </c>
      <c r="M13" s="36">
        <v>625.0</v>
      </c>
      <c r="N13" s="36">
        <v>3439535.0</v>
      </c>
      <c r="O13" s="36">
        <v>1651705.0</v>
      </c>
      <c r="P13" s="38">
        <f t="shared" si="7"/>
        <v>0.06184061029</v>
      </c>
      <c r="Q13" s="39">
        <f t="shared" si="8"/>
        <v>9027.650919</v>
      </c>
      <c r="R13" s="40">
        <f t="shared" ref="R13:S13" si="32">M13/L13</f>
        <v>1.640419948</v>
      </c>
      <c r="S13" s="39">
        <f t="shared" si="32"/>
        <v>5503.256</v>
      </c>
      <c r="T13" s="31"/>
      <c r="U13" s="35" t="s">
        <v>25</v>
      </c>
      <c r="V13" s="36">
        <v>387.0</v>
      </c>
      <c r="W13" s="36">
        <v>562.0</v>
      </c>
      <c r="X13" s="36">
        <v>3135275.0</v>
      </c>
      <c r="Y13" s="36">
        <v>1509805.0</v>
      </c>
      <c r="Z13" s="38">
        <f t="shared" si="19"/>
        <v>0.06580513518</v>
      </c>
      <c r="AA13" s="39">
        <f t="shared" si="20"/>
        <v>8101.485788</v>
      </c>
      <c r="AB13" s="40">
        <f t="shared" ref="AB13:AC13" si="33">W13/V13</f>
        <v>1.452196382</v>
      </c>
      <c r="AC13" s="42">
        <f t="shared" si="33"/>
        <v>5578.781139</v>
      </c>
      <c r="AD13" s="31"/>
      <c r="AE13" s="31"/>
      <c r="AF13" s="31"/>
      <c r="AG13" s="31"/>
    </row>
    <row r="14" ht="14.25" customHeight="1">
      <c r="A14" s="35" t="s">
        <v>26</v>
      </c>
      <c r="B14" s="36">
        <v>224.0</v>
      </c>
      <c r="C14" s="36">
        <v>338.0</v>
      </c>
      <c r="D14" s="36">
        <v>1742675.0</v>
      </c>
      <c r="E14" s="37">
        <v>828905.0</v>
      </c>
      <c r="F14" s="38">
        <f t="shared" si="2"/>
        <v>0.09407180629</v>
      </c>
      <c r="G14" s="39">
        <f t="shared" si="3"/>
        <v>7779.799107</v>
      </c>
      <c r="H14" s="40">
        <f t="shared" ref="H14:I14" si="34">C14/B14</f>
        <v>1.508928571</v>
      </c>
      <c r="I14" s="39">
        <f t="shared" si="34"/>
        <v>5155.843195</v>
      </c>
      <c r="J14" s="31"/>
      <c r="K14" s="35" t="s">
        <v>26</v>
      </c>
      <c r="L14" s="36">
        <v>384.0</v>
      </c>
      <c r="M14" s="36">
        <v>654.0</v>
      </c>
      <c r="N14" s="36">
        <v>3467475.0</v>
      </c>
      <c r="O14" s="36">
        <v>1650495.0</v>
      </c>
      <c r="P14" s="38">
        <f t="shared" si="7"/>
        <v>0.06232754423</v>
      </c>
      <c r="Q14" s="39">
        <f t="shared" si="8"/>
        <v>9029.882813</v>
      </c>
      <c r="R14" s="40">
        <f t="shared" ref="R14:S14" si="35">M14/L14</f>
        <v>1.703125</v>
      </c>
      <c r="S14" s="39">
        <f t="shared" si="35"/>
        <v>5301.949541</v>
      </c>
      <c r="T14" s="31"/>
      <c r="U14" s="35" t="s">
        <v>26</v>
      </c>
      <c r="V14" s="36">
        <v>343.0</v>
      </c>
      <c r="W14" s="36">
        <v>522.0</v>
      </c>
      <c r="X14" s="36">
        <v>2546775.0</v>
      </c>
      <c r="Y14" s="36">
        <v>1241075.0</v>
      </c>
      <c r="Z14" s="38">
        <f t="shared" si="19"/>
        <v>0.05832341439</v>
      </c>
      <c r="AA14" s="39">
        <f t="shared" si="20"/>
        <v>7425</v>
      </c>
      <c r="AB14" s="40">
        <f t="shared" ref="AB14:AC14" si="36">W14/V14</f>
        <v>1.521865889</v>
      </c>
      <c r="AC14" s="42">
        <f t="shared" si="36"/>
        <v>4878.87931</v>
      </c>
      <c r="AD14" s="31"/>
      <c r="AE14" s="31"/>
      <c r="AF14" s="31"/>
      <c r="AG14" s="31"/>
    </row>
    <row r="15" ht="14.25" customHeight="1">
      <c r="A15" s="35" t="s">
        <v>27</v>
      </c>
      <c r="B15" s="36">
        <v>230.0</v>
      </c>
      <c r="C15" s="36">
        <v>349.0</v>
      </c>
      <c r="D15" s="36">
        <v>1446720.0</v>
      </c>
      <c r="E15" s="37">
        <v>692780.0</v>
      </c>
      <c r="F15" s="38">
        <f t="shared" si="2"/>
        <v>0.09713331478</v>
      </c>
      <c r="G15" s="39">
        <f t="shared" si="3"/>
        <v>6290.086957</v>
      </c>
      <c r="H15" s="40">
        <f t="shared" ref="H15:I15" si="37">C15/B15</f>
        <v>1.517391304</v>
      </c>
      <c r="I15" s="39">
        <f t="shared" si="37"/>
        <v>4145.329513</v>
      </c>
      <c r="J15" s="31"/>
      <c r="K15" s="35" t="s">
        <v>27</v>
      </c>
      <c r="L15" s="36">
        <v>351.0</v>
      </c>
      <c r="M15" s="36">
        <v>561.0</v>
      </c>
      <c r="N15" s="36">
        <v>2413840.0</v>
      </c>
      <c r="O15" s="36">
        <v>1158025.0</v>
      </c>
      <c r="P15" s="38">
        <f t="shared" si="7"/>
        <v>0.0569712709</v>
      </c>
      <c r="Q15" s="39">
        <f t="shared" si="8"/>
        <v>6877.037037</v>
      </c>
      <c r="R15" s="40">
        <f t="shared" ref="R15:S15" si="38">M15/L15</f>
        <v>1.598290598</v>
      </c>
      <c r="S15" s="39">
        <f t="shared" si="38"/>
        <v>4302.745098</v>
      </c>
      <c r="T15" s="31"/>
      <c r="U15" s="35" t="s">
        <v>27</v>
      </c>
      <c r="V15" s="36">
        <v>356.0</v>
      </c>
      <c r="W15" s="36">
        <v>518.0</v>
      </c>
      <c r="X15" s="36">
        <v>2251975.0</v>
      </c>
      <c r="Y15" s="36">
        <v>1074480.0</v>
      </c>
      <c r="Z15" s="38">
        <f t="shared" si="19"/>
        <v>0.0605339228</v>
      </c>
      <c r="AA15" s="39">
        <f t="shared" si="20"/>
        <v>6325.772472</v>
      </c>
      <c r="AB15" s="40">
        <f t="shared" ref="AB15:AC15" si="39">W15/V15</f>
        <v>1.45505618</v>
      </c>
      <c r="AC15" s="42">
        <f t="shared" si="39"/>
        <v>4347.442085</v>
      </c>
      <c r="AD15" s="31"/>
      <c r="AE15" s="31"/>
      <c r="AF15" s="31"/>
      <c r="AG15" s="31"/>
    </row>
    <row r="16" ht="14.25" customHeight="1">
      <c r="A16" s="35" t="s">
        <v>28</v>
      </c>
      <c r="B16" s="36">
        <v>311.0</v>
      </c>
      <c r="C16" s="36">
        <v>523.0</v>
      </c>
      <c r="D16" s="36">
        <v>2693735.0</v>
      </c>
      <c r="E16" s="37">
        <v>1293325.0</v>
      </c>
      <c r="F16" s="38">
        <f t="shared" si="2"/>
        <v>0.1455608127</v>
      </c>
      <c r="G16" s="39">
        <f t="shared" si="3"/>
        <v>8661.527331</v>
      </c>
      <c r="H16" s="40">
        <f t="shared" ref="H16:I16" si="40">C16/B16</f>
        <v>1.681672026</v>
      </c>
      <c r="I16" s="39">
        <f t="shared" si="40"/>
        <v>5150.544933</v>
      </c>
      <c r="J16" s="31"/>
      <c r="K16" s="35" t="s">
        <v>28</v>
      </c>
      <c r="L16" s="36">
        <v>743.0</v>
      </c>
      <c r="M16" s="36">
        <v>1364.0</v>
      </c>
      <c r="N16" s="36">
        <v>7542645.0</v>
      </c>
      <c r="O16" s="36">
        <v>3669875.0</v>
      </c>
      <c r="P16" s="38">
        <f t="shared" si="7"/>
        <v>0.1205973056</v>
      </c>
      <c r="Q16" s="39">
        <f t="shared" si="8"/>
        <v>10151.60834</v>
      </c>
      <c r="R16" s="40">
        <f t="shared" ref="R16:S16" si="41">M16/L16</f>
        <v>1.835800808</v>
      </c>
      <c r="S16" s="39">
        <f t="shared" si="41"/>
        <v>5529.798387</v>
      </c>
      <c r="T16" s="31"/>
      <c r="U16" s="35" t="s">
        <v>28</v>
      </c>
      <c r="V16" s="36">
        <v>778.0</v>
      </c>
      <c r="W16" s="36">
        <v>1300.0</v>
      </c>
      <c r="X16" s="36">
        <v>7285410.0</v>
      </c>
      <c r="Y16" s="36">
        <v>3469510.0</v>
      </c>
      <c r="Z16" s="38">
        <f t="shared" si="19"/>
        <v>0.1322904268</v>
      </c>
      <c r="AA16" s="39">
        <f t="shared" si="20"/>
        <v>9364.280206</v>
      </c>
      <c r="AB16" s="40">
        <f t="shared" ref="AB16:AC16" si="42">W16/V16</f>
        <v>1.670951157</v>
      </c>
      <c r="AC16" s="42">
        <f t="shared" si="42"/>
        <v>5604.161538</v>
      </c>
      <c r="AD16" s="31"/>
      <c r="AE16" s="31"/>
      <c r="AF16" s="31"/>
      <c r="AG16" s="31"/>
    </row>
    <row r="17" ht="14.25" customHeight="1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</row>
    <row r="18" ht="14.25" customHeight="1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 ht="14.25" customHeight="1">
      <c r="A19" s="45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</row>
    <row r="20" ht="14.25" customHeight="1">
      <c r="A20" s="45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14.25" customHeight="1">
      <c r="A21" s="46" t="str">
        <f t="shared" ref="A21:A35" si="43">A2</f>
        <v>Quarter</v>
      </c>
      <c r="B21" s="47" t="s">
        <v>29</v>
      </c>
      <c r="C21" s="47" t="s">
        <v>30</v>
      </c>
      <c r="D21" s="47" t="s">
        <v>31</v>
      </c>
      <c r="E21" s="47" t="s">
        <v>29</v>
      </c>
      <c r="F21" s="47" t="s">
        <v>30</v>
      </c>
      <c r="G21" s="47" t="s">
        <v>31</v>
      </c>
      <c r="H21" s="47" t="s">
        <v>29</v>
      </c>
      <c r="I21" s="47" t="s">
        <v>30</v>
      </c>
      <c r="J21" s="47" t="s">
        <v>31</v>
      </c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ht="14.25" customHeight="1">
      <c r="A22" s="46" t="str">
        <f t="shared" si="43"/>
        <v>2021Q3</v>
      </c>
      <c r="B22" s="38">
        <f t="shared" ref="B22:B35" si="44">F3</f>
        <v>1</v>
      </c>
      <c r="C22" s="38"/>
      <c r="D22" s="38"/>
      <c r="E22" s="39">
        <f t="shared" ref="E22:E35" si="45">G3</f>
        <v>6638.298733</v>
      </c>
      <c r="F22" s="39"/>
      <c r="G22" s="39"/>
      <c r="H22" s="39">
        <f t="shared" ref="H22:H35" si="46">I3</f>
        <v>5250.777901</v>
      </c>
      <c r="I22" s="39"/>
      <c r="J22" s="39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</row>
    <row r="23" ht="14.25" customHeight="1">
      <c r="A23" s="46" t="str">
        <f t="shared" si="43"/>
        <v>2021Q4</v>
      </c>
      <c r="B23" s="38">
        <f t="shared" si="44"/>
        <v>0.227664904</v>
      </c>
      <c r="C23" s="38">
        <f t="shared" ref="C23:C35" si="47">P4</f>
        <v>1</v>
      </c>
      <c r="D23" s="38"/>
      <c r="E23" s="39">
        <f t="shared" si="45"/>
        <v>8274.120983</v>
      </c>
      <c r="F23" s="39">
        <f t="shared" ref="F23:F35" si="48">Q4</f>
        <v>8248.009252</v>
      </c>
      <c r="G23" s="39"/>
      <c r="H23" s="39">
        <f t="shared" si="46"/>
        <v>5350.867971</v>
      </c>
      <c r="I23" s="39">
        <f t="shared" ref="I23:I35" si="49">S4</f>
        <v>6367.91792</v>
      </c>
      <c r="J23" s="39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4.25" customHeight="1">
      <c r="A24" s="46" t="str">
        <f t="shared" si="43"/>
        <v>2022Q1</v>
      </c>
      <c r="B24" s="38">
        <f t="shared" si="44"/>
        <v>0.09045365989</v>
      </c>
      <c r="C24" s="38">
        <f t="shared" si="47"/>
        <v>0.1004707028</v>
      </c>
      <c r="D24" s="38"/>
      <c r="E24" s="39">
        <f t="shared" si="45"/>
        <v>8054.599156</v>
      </c>
      <c r="F24" s="39">
        <f t="shared" si="48"/>
        <v>8717.988691</v>
      </c>
      <c r="G24" s="39"/>
      <c r="H24" s="39">
        <f t="shared" si="46"/>
        <v>5873.661538</v>
      </c>
      <c r="I24" s="39">
        <f t="shared" si="49"/>
        <v>5747.00213</v>
      </c>
      <c r="J24" s="39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</row>
    <row r="25" ht="14.25" customHeight="1">
      <c r="A25" s="46" t="str">
        <f t="shared" si="43"/>
        <v>2022Q2</v>
      </c>
      <c r="B25" s="38">
        <f t="shared" si="44"/>
        <v>0.1299749513</v>
      </c>
      <c r="C25" s="38">
        <f t="shared" si="47"/>
        <v>0.08862197695</v>
      </c>
      <c r="D25" s="38"/>
      <c r="E25" s="39">
        <f t="shared" si="45"/>
        <v>7412.893082</v>
      </c>
      <c r="F25" s="39">
        <f t="shared" si="48"/>
        <v>7352.57326</v>
      </c>
      <c r="G25" s="39"/>
      <c r="H25" s="39">
        <f t="shared" si="46"/>
        <v>5047.751606</v>
      </c>
      <c r="I25" s="39">
        <f t="shared" si="49"/>
        <v>4695.327485</v>
      </c>
      <c r="J25" s="39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ht="14.25" customHeight="1">
      <c r="A26" s="46" t="str">
        <f t="shared" si="43"/>
        <v>2022Q3</v>
      </c>
      <c r="B26" s="38">
        <f t="shared" si="44"/>
        <v>0.1302532702</v>
      </c>
      <c r="C26" s="38">
        <f t="shared" si="47"/>
        <v>0.07320240221</v>
      </c>
      <c r="D26" s="38"/>
      <c r="E26" s="39">
        <f t="shared" si="45"/>
        <v>6982.744479</v>
      </c>
      <c r="F26" s="39">
        <f t="shared" si="48"/>
        <v>7795.853659</v>
      </c>
      <c r="G26" s="39"/>
      <c r="H26" s="39">
        <f t="shared" si="46"/>
        <v>4729.764957</v>
      </c>
      <c r="I26" s="39">
        <f t="shared" si="49"/>
        <v>5051.623563</v>
      </c>
      <c r="J26" s="39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4.25" customHeight="1">
      <c r="A27" s="46" t="str">
        <f t="shared" si="43"/>
        <v>2022Q4</v>
      </c>
      <c r="B27" s="38">
        <f t="shared" si="44"/>
        <v>0.1711661564</v>
      </c>
      <c r="C27" s="38">
        <f t="shared" si="47"/>
        <v>0.152410323</v>
      </c>
      <c r="D27" s="38">
        <f t="shared" ref="D27:D35" si="50">Z8</f>
        <v>1</v>
      </c>
      <c r="E27" s="39">
        <f t="shared" si="45"/>
        <v>8245.040984</v>
      </c>
      <c r="F27" s="39">
        <f t="shared" si="48"/>
        <v>9322.880724</v>
      </c>
      <c r="G27" s="39">
        <f t="shared" ref="G27:G35" si="51">AA8</f>
        <v>7837.083829</v>
      </c>
      <c r="H27" s="39">
        <f t="shared" si="46"/>
        <v>4906.804878</v>
      </c>
      <c r="I27" s="39">
        <f t="shared" si="49"/>
        <v>5544.132362</v>
      </c>
      <c r="J27" s="39">
        <f t="shared" ref="J27:J35" si="52">AC8</f>
        <v>6024.034767</v>
      </c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</row>
    <row r="28" ht="14.25" customHeight="1">
      <c r="A28" s="46" t="str">
        <f t="shared" si="43"/>
        <v>2023Q1</v>
      </c>
      <c r="B28" s="38">
        <f t="shared" si="44"/>
        <v>0.09435012524</v>
      </c>
      <c r="C28" s="38">
        <f t="shared" si="47"/>
        <v>0.06784612888</v>
      </c>
      <c r="D28" s="38">
        <f t="shared" si="50"/>
        <v>0.1173269852</v>
      </c>
      <c r="E28" s="39">
        <f t="shared" si="45"/>
        <v>6732.32906</v>
      </c>
      <c r="F28" s="39">
        <f t="shared" si="48"/>
        <v>8205.789474</v>
      </c>
      <c r="G28" s="39">
        <f t="shared" si="51"/>
        <v>8017.166667</v>
      </c>
      <c r="H28" s="39">
        <f t="shared" si="46"/>
        <v>4647.094395</v>
      </c>
      <c r="I28" s="39">
        <f t="shared" si="49"/>
        <v>4992.751092</v>
      </c>
      <c r="J28" s="39">
        <f t="shared" si="52"/>
        <v>5471.656775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</row>
    <row r="29" ht="14.25" customHeight="1">
      <c r="A29" s="46" t="str">
        <f t="shared" si="43"/>
        <v>2023Q2</v>
      </c>
      <c r="B29" s="38">
        <f t="shared" si="44"/>
        <v>0.113554133</v>
      </c>
      <c r="C29" s="38">
        <f t="shared" si="47"/>
        <v>0.07174160039</v>
      </c>
      <c r="D29" s="38">
        <f t="shared" si="50"/>
        <v>0.08042849855</v>
      </c>
      <c r="E29" s="39">
        <f t="shared" si="45"/>
        <v>7105.393701</v>
      </c>
      <c r="F29" s="39">
        <f t="shared" si="48"/>
        <v>7636.78733</v>
      </c>
      <c r="G29" s="39">
        <f t="shared" si="51"/>
        <v>7550.465116</v>
      </c>
      <c r="H29" s="39">
        <f t="shared" si="46"/>
        <v>4423.455882</v>
      </c>
      <c r="I29" s="39">
        <f t="shared" si="49"/>
        <v>4573.794038</v>
      </c>
      <c r="J29" s="39">
        <f t="shared" si="52"/>
        <v>5290.918519</v>
      </c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4.25" customHeight="1">
      <c r="A30" s="46" t="str">
        <f t="shared" si="43"/>
        <v>2023Q3</v>
      </c>
      <c r="B30" s="38">
        <f t="shared" si="44"/>
        <v>0.1071527971</v>
      </c>
      <c r="C30" s="38">
        <f t="shared" si="47"/>
        <v>0.06979386463</v>
      </c>
      <c r="D30" s="38">
        <f t="shared" si="50"/>
        <v>0.07141642578</v>
      </c>
      <c r="E30" s="39">
        <f t="shared" si="45"/>
        <v>5883.773234</v>
      </c>
      <c r="F30" s="39">
        <f t="shared" si="48"/>
        <v>8084.616279</v>
      </c>
      <c r="G30" s="39">
        <f t="shared" si="51"/>
        <v>6757.142857</v>
      </c>
      <c r="H30" s="39">
        <f t="shared" si="46"/>
        <v>4111</v>
      </c>
      <c r="I30" s="39">
        <f t="shared" si="49"/>
        <v>4755.656635</v>
      </c>
      <c r="J30" s="39">
        <f t="shared" si="52"/>
        <v>4722.129784</v>
      </c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</row>
    <row r="31" ht="14.25" customHeight="1">
      <c r="A31" s="46" t="str">
        <f t="shared" si="43"/>
        <v>2023Q4</v>
      </c>
      <c r="B31" s="38">
        <f t="shared" si="44"/>
        <v>0.173949346</v>
      </c>
      <c r="C31" s="38">
        <f t="shared" si="47"/>
        <v>0.1436455121</v>
      </c>
      <c r="D31" s="38">
        <f t="shared" si="50"/>
        <v>0.1698690699</v>
      </c>
      <c r="E31" s="39">
        <f t="shared" si="45"/>
        <v>9000.181564</v>
      </c>
      <c r="F31" s="39">
        <f t="shared" si="48"/>
        <v>9616.485876</v>
      </c>
      <c r="G31" s="39">
        <f t="shared" si="51"/>
        <v>8936.096096</v>
      </c>
      <c r="H31" s="39">
        <f t="shared" si="46"/>
        <v>5155.304</v>
      </c>
      <c r="I31" s="39">
        <f t="shared" si="49"/>
        <v>5519.189364</v>
      </c>
      <c r="J31" s="39">
        <f t="shared" si="52"/>
        <v>5377.807229</v>
      </c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14.25" customHeight="1">
      <c r="A32" s="46" t="str">
        <f t="shared" si="43"/>
        <v>2024Q1</v>
      </c>
      <c r="B32" s="38">
        <f t="shared" si="44"/>
        <v>0.08989702199</v>
      </c>
      <c r="C32" s="38">
        <f t="shared" si="47"/>
        <v>0.06184061029</v>
      </c>
      <c r="D32" s="38">
        <f t="shared" si="50"/>
        <v>0.06580513518</v>
      </c>
      <c r="E32" s="39">
        <f t="shared" si="45"/>
        <v>7449.75</v>
      </c>
      <c r="F32" s="39">
        <f t="shared" si="48"/>
        <v>9027.650919</v>
      </c>
      <c r="G32" s="39">
        <f t="shared" si="51"/>
        <v>8101.485788</v>
      </c>
      <c r="H32" s="39">
        <f t="shared" si="46"/>
        <v>5074.133127</v>
      </c>
      <c r="I32" s="39">
        <f t="shared" si="49"/>
        <v>5503.256</v>
      </c>
      <c r="J32" s="39">
        <f t="shared" si="52"/>
        <v>5578.781139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4.25" customHeight="1">
      <c r="A33" s="46" t="str">
        <f t="shared" si="43"/>
        <v>2024Q2</v>
      </c>
      <c r="B33" s="38">
        <f t="shared" si="44"/>
        <v>0.09407180629</v>
      </c>
      <c r="C33" s="38">
        <f t="shared" si="47"/>
        <v>0.06232754423</v>
      </c>
      <c r="D33" s="38">
        <f t="shared" si="50"/>
        <v>0.05832341439</v>
      </c>
      <c r="E33" s="39">
        <f t="shared" si="45"/>
        <v>7779.799107</v>
      </c>
      <c r="F33" s="39">
        <f t="shared" si="48"/>
        <v>9029.882813</v>
      </c>
      <c r="G33" s="39">
        <f t="shared" si="51"/>
        <v>7425</v>
      </c>
      <c r="H33" s="39">
        <f t="shared" si="46"/>
        <v>5155.843195</v>
      </c>
      <c r="I33" s="39">
        <f t="shared" si="49"/>
        <v>5301.949541</v>
      </c>
      <c r="J33" s="39">
        <f t="shared" si="52"/>
        <v>4878.87931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ht="14.25" customHeight="1">
      <c r="A34" s="46" t="str">
        <f t="shared" si="43"/>
        <v>2024Q3</v>
      </c>
      <c r="B34" s="38">
        <f t="shared" si="44"/>
        <v>0.09713331478</v>
      </c>
      <c r="C34" s="38">
        <f t="shared" si="47"/>
        <v>0.0569712709</v>
      </c>
      <c r="D34" s="38">
        <f t="shared" si="50"/>
        <v>0.0605339228</v>
      </c>
      <c r="E34" s="39">
        <f t="shared" si="45"/>
        <v>6290.086957</v>
      </c>
      <c r="F34" s="39">
        <f t="shared" si="48"/>
        <v>6877.037037</v>
      </c>
      <c r="G34" s="39">
        <f t="shared" si="51"/>
        <v>6325.772472</v>
      </c>
      <c r="H34" s="39">
        <f t="shared" si="46"/>
        <v>4145.329513</v>
      </c>
      <c r="I34" s="39">
        <f t="shared" si="49"/>
        <v>4302.745098</v>
      </c>
      <c r="J34" s="39">
        <f t="shared" si="52"/>
        <v>4347.442085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14.25" customHeight="1">
      <c r="A35" s="46" t="str">
        <f t="shared" si="43"/>
        <v>2024Q4</v>
      </c>
      <c r="B35" s="38">
        <f t="shared" si="44"/>
        <v>0.1455608127</v>
      </c>
      <c r="C35" s="38">
        <f t="shared" si="47"/>
        <v>0.1205973056</v>
      </c>
      <c r="D35" s="38">
        <f t="shared" si="50"/>
        <v>0.1322904268</v>
      </c>
      <c r="E35" s="39">
        <f t="shared" si="45"/>
        <v>8661.527331</v>
      </c>
      <c r="F35" s="39">
        <f t="shared" si="48"/>
        <v>10151.60834</v>
      </c>
      <c r="G35" s="39">
        <f t="shared" si="51"/>
        <v>9364.280206</v>
      </c>
      <c r="H35" s="39">
        <f t="shared" si="46"/>
        <v>5150.544933</v>
      </c>
      <c r="I35" s="39">
        <f t="shared" si="49"/>
        <v>5529.798387</v>
      </c>
      <c r="J35" s="39">
        <f t="shared" si="52"/>
        <v>5604.161538</v>
      </c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14.25" customHeight="1">
      <c r="A36" s="45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ht="14.25" customHeight="1">
      <c r="A37" s="45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4.25" customHeight="1">
      <c r="A38" s="45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</row>
    <row r="39" ht="14.25" customHeight="1">
      <c r="A39" s="45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14.25" customHeight="1">
      <c r="A40" s="45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4.25" customHeight="1">
      <c r="A41" s="45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</row>
    <row r="42" ht="14.25" customHeight="1">
      <c r="A42" s="45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</row>
    <row r="43" ht="14.25" customHeight="1">
      <c r="A43" s="45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4.25" customHeight="1">
      <c r="A44" s="45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14.25" customHeight="1">
      <c r="A45" s="45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ht="14.25" customHeight="1">
      <c r="A46" s="45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4.25" customHeight="1">
      <c r="A47" s="45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ht="14.25" customHeight="1">
      <c r="A48" s="45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4.25" customHeight="1">
      <c r="A49" s="45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4.25" customHeight="1">
      <c r="A50" s="45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ht="14.25" customHeight="1">
      <c r="A51" s="45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</row>
    <row r="52" ht="14.25" customHeight="1">
      <c r="A52" s="45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4.25" customHeight="1">
      <c r="A53" s="45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ht="14.25" customHeight="1">
      <c r="A54" s="45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ht="14.25" customHeight="1">
      <c r="A55" s="45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4.25" customHeight="1">
      <c r="A56" s="45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4.25" customHeight="1">
      <c r="A57" s="45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14.25" customHeight="1">
      <c r="A58" s="45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4.25" customHeight="1">
      <c r="A59" s="45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4.25" customHeight="1">
      <c r="A60" s="45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14.25" customHeight="1">
      <c r="A61" s="45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4.25" customHeight="1">
      <c r="A62" s="45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4.25" customHeight="1">
      <c r="A63" s="45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4.25" customHeight="1">
      <c r="A64" s="45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4.25" customHeight="1">
      <c r="A65" s="45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4.25" customHeight="1">
      <c r="A66" s="45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4.25" customHeight="1">
      <c r="A67" s="45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4.25" customHeight="1">
      <c r="A68" s="45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4.25" customHeight="1">
      <c r="A69" s="45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14.25" customHeight="1">
      <c r="A70" s="45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4.25" customHeight="1">
      <c r="A71" s="45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4.25" customHeight="1">
      <c r="A72" s="45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4.25" customHeight="1">
      <c r="A73" s="45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14.25" customHeight="1">
      <c r="A74" s="45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4.25" customHeight="1">
      <c r="A75" s="45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14.25" customHeight="1">
      <c r="A76" s="45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14.25" customHeight="1">
      <c r="A77" s="45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4.25" customHeight="1">
      <c r="A78" s="45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</row>
    <row r="79" ht="14.25" customHeight="1">
      <c r="A79" s="45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14.25" customHeight="1">
      <c r="A80" s="45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4.25" customHeight="1">
      <c r="A81" s="45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4.25" customHeight="1">
      <c r="A82" s="45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14.25" customHeight="1">
      <c r="A83" s="45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14.25" customHeight="1">
      <c r="A84" s="45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14.25" customHeight="1">
      <c r="A85" s="45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14.25" customHeight="1">
      <c r="A86" s="45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14.25" customHeight="1">
      <c r="A87" s="45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14.25" customHeight="1">
      <c r="A88" s="45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14.25" customHeight="1">
      <c r="A89" s="45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14.25" customHeight="1">
      <c r="A90" s="45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4.25" customHeight="1">
      <c r="A91" s="45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14.25" customHeight="1">
      <c r="A92" s="45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14.25" customHeight="1">
      <c r="A93" s="4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14.25" customHeight="1">
      <c r="A94" s="45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14.25" customHeight="1">
      <c r="A95" s="45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14.25" customHeight="1">
      <c r="A96" s="45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14.25" customHeight="1">
      <c r="A97" s="4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14.25" customHeight="1">
      <c r="A98" s="4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14.25" customHeight="1">
      <c r="A99" s="4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14.25" customHeight="1">
      <c r="A100" s="4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14.25" customHeight="1">
      <c r="A101" s="45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14.25" customHeight="1">
      <c r="A102" s="45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14.25" customHeight="1">
      <c r="A103" s="45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14.25" customHeight="1">
      <c r="A104" s="45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14.25" customHeight="1">
      <c r="A105" s="4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14.25" customHeight="1">
      <c r="A106" s="45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14.25" customHeight="1">
      <c r="A107" s="45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14.25" customHeight="1">
      <c r="A108" s="45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14.25" customHeight="1">
      <c r="A109" s="45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14.25" customHeight="1">
      <c r="A110" s="45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14.25" customHeight="1">
      <c r="A111" s="45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14.25" customHeight="1">
      <c r="A112" s="45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14.25" customHeight="1">
      <c r="A113" s="4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14.25" customHeight="1">
      <c r="A114" s="4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14.25" customHeight="1">
      <c r="A115" s="45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14.25" customHeight="1">
      <c r="A116" s="4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14.25" customHeight="1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14.25" customHeight="1">
      <c r="A118" s="45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14.25" customHeight="1">
      <c r="A119" s="45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14.25" customHeight="1">
      <c r="A120" s="45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14.25" customHeight="1">
      <c r="A121" s="45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14.25" customHeight="1">
      <c r="A122" s="45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14.25" customHeight="1">
      <c r="A123" s="45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14.25" customHeight="1">
      <c r="A124" s="45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14.25" customHeight="1">
      <c r="A125" s="45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14.25" customHeight="1">
      <c r="A126" s="45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14.25" customHeight="1">
      <c r="A127" s="45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14.25" customHeight="1">
      <c r="A128" s="45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14.25" customHeight="1">
      <c r="A129" s="45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14.25" customHeight="1">
      <c r="A130" s="45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14.25" customHeight="1">
      <c r="A131" s="45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14.25" customHeight="1">
      <c r="A132" s="45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14.25" customHeight="1">
      <c r="A133" s="45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14.25" customHeight="1">
      <c r="A134" s="45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14.25" customHeight="1">
      <c r="A135" s="45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14.25" customHeight="1">
      <c r="A136" s="45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14.25" customHeight="1">
      <c r="A137" s="45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14.25" customHeight="1">
      <c r="A138" s="45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14.25" customHeight="1">
      <c r="A139" s="45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14.25" customHeight="1">
      <c r="A140" s="45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14.25" customHeight="1">
      <c r="A141" s="45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14.25" customHeight="1">
      <c r="A142" s="4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14.25" customHeight="1">
      <c r="A143" s="45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14.25" customHeight="1">
      <c r="A144" s="45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14.25" customHeight="1">
      <c r="A145" s="4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14.25" customHeight="1">
      <c r="A146" s="45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14.25" customHeight="1">
      <c r="A147" s="45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14.25" customHeight="1">
      <c r="A148" s="45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14.25" customHeight="1">
      <c r="A149" s="45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14.25" customHeight="1">
      <c r="A150" s="4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14.25" customHeight="1">
      <c r="A151" s="4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14.25" customHeight="1">
      <c r="A152" s="45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14.25" customHeight="1">
      <c r="A153" s="45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14.25" customHeight="1">
      <c r="A154" s="45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14.25" customHeight="1">
      <c r="A155" s="45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14.25" customHeight="1">
      <c r="A156" s="45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14.25" customHeight="1">
      <c r="A157" s="45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14.25" customHeight="1">
      <c r="A158" s="45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14.25" customHeight="1">
      <c r="A159" s="45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14.25" customHeight="1">
      <c r="A160" s="45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14.25" customHeight="1">
      <c r="A161" s="45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</row>
    <row r="162" ht="14.25" customHeight="1">
      <c r="A162" s="45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</row>
    <row r="163" ht="14.25" customHeight="1">
      <c r="A163" s="45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</row>
    <row r="164" ht="14.25" customHeight="1">
      <c r="A164" s="45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</row>
    <row r="165" ht="14.25" customHeight="1">
      <c r="A165" s="45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</row>
    <row r="166" ht="14.25" customHeight="1">
      <c r="A166" s="45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</row>
    <row r="167" ht="14.25" customHeight="1">
      <c r="A167" s="45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</row>
    <row r="168" ht="14.25" customHeight="1">
      <c r="A168" s="45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</row>
    <row r="169" ht="14.25" customHeight="1">
      <c r="A169" s="45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</row>
    <row r="170" ht="14.25" customHeight="1">
      <c r="A170" s="45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</row>
    <row r="171" ht="14.25" customHeight="1">
      <c r="A171" s="45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</row>
    <row r="172" ht="14.25" customHeight="1">
      <c r="A172" s="45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</row>
    <row r="173" ht="14.25" customHeight="1">
      <c r="A173" s="45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</row>
    <row r="174" ht="14.25" customHeight="1">
      <c r="A174" s="45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</row>
    <row r="175" ht="14.25" customHeight="1">
      <c r="A175" s="45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</row>
    <row r="176" ht="14.25" customHeight="1">
      <c r="A176" s="45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</row>
    <row r="177" ht="14.25" customHeight="1">
      <c r="A177" s="45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</row>
    <row r="178" ht="14.25" customHeight="1">
      <c r="A178" s="45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</row>
    <row r="179" ht="14.25" customHeight="1">
      <c r="A179" s="45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</row>
    <row r="180" ht="14.25" customHeight="1">
      <c r="A180" s="45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ht="14.25" customHeight="1">
      <c r="A181" s="45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</row>
    <row r="182" ht="14.25" customHeight="1">
      <c r="A182" s="45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ht="14.25" customHeight="1">
      <c r="A183" s="45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</row>
    <row r="184" ht="14.25" customHeight="1">
      <c r="A184" s="45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</row>
    <row r="185" ht="14.25" customHeight="1">
      <c r="A185" s="4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ht="14.25" customHeight="1">
      <c r="A186" s="4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</row>
    <row r="187" ht="14.25" customHeight="1">
      <c r="A187" s="4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</row>
    <row r="188" ht="14.25" customHeight="1">
      <c r="A188" s="45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</row>
    <row r="189" ht="14.25" customHeight="1">
      <c r="A189" s="4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</row>
    <row r="190" ht="14.25" customHeight="1">
      <c r="A190" s="4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</row>
    <row r="191" ht="14.25" customHeight="1">
      <c r="A191" s="4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</row>
    <row r="192" ht="14.25" customHeight="1">
      <c r="A192" s="4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</row>
    <row r="193" ht="14.25" customHeight="1">
      <c r="A193" s="4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 ht="14.25" customHeight="1">
      <c r="A194" s="4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</row>
    <row r="195" ht="14.25" customHeight="1">
      <c r="A195" s="4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</row>
    <row r="196" ht="14.25" customHeight="1">
      <c r="A196" s="4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</row>
    <row r="197" ht="14.25" customHeight="1">
      <c r="A197" s="4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</row>
    <row r="198" ht="14.25" customHeight="1">
      <c r="A198" s="4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</row>
    <row r="199" ht="14.25" customHeight="1">
      <c r="A199" s="4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</row>
    <row r="200" ht="14.25" customHeight="1">
      <c r="A200" s="4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</row>
    <row r="201" ht="14.25" customHeight="1">
      <c r="A201" s="4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</row>
    <row r="202" ht="14.25" customHeight="1">
      <c r="A202" s="4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</row>
    <row r="203" ht="14.25" customHeight="1">
      <c r="A203" s="4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</row>
    <row r="204" ht="14.25" customHeight="1">
      <c r="A204" s="4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</row>
    <row r="205" ht="14.25" customHeight="1">
      <c r="A205" s="4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</row>
    <row r="206" ht="14.25" customHeight="1">
      <c r="A206" s="4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</row>
    <row r="207" ht="14.25" customHeight="1">
      <c r="A207" s="4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</row>
    <row r="208" ht="14.25" customHeight="1">
      <c r="A208" s="4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</row>
    <row r="209" ht="14.25" customHeight="1">
      <c r="A209" s="4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</row>
    <row r="210" ht="14.25" customHeight="1">
      <c r="A210" s="4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</row>
    <row r="211" ht="14.25" customHeight="1">
      <c r="A211" s="4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</row>
    <row r="212" ht="14.25" customHeight="1">
      <c r="A212" s="4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</row>
    <row r="213" ht="14.25" customHeight="1">
      <c r="A213" s="4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</row>
    <row r="214" ht="14.25" customHeight="1">
      <c r="A214" s="4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</row>
    <row r="215" ht="14.25" customHeight="1">
      <c r="A215" s="4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</row>
    <row r="216" ht="14.25" customHeight="1">
      <c r="A216" s="4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</row>
    <row r="217" ht="14.25" customHeight="1">
      <c r="A217" s="4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</row>
    <row r="218" ht="14.25" customHeight="1">
      <c r="A218" s="4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</row>
    <row r="219" ht="14.25" customHeight="1">
      <c r="A219" s="4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</row>
    <row r="220" ht="14.25" customHeight="1">
      <c r="A220" s="4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</row>
    <row r="221" ht="14.25" customHeight="1">
      <c r="A221" s="45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</row>
    <row r="222" ht="14.25" customHeight="1">
      <c r="A222" s="45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</row>
    <row r="223" ht="14.25" customHeight="1">
      <c r="A223" s="45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</row>
    <row r="224" ht="14.25" customHeight="1">
      <c r="A224" s="45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</row>
    <row r="225" ht="14.25" customHeight="1">
      <c r="A225" s="45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</row>
    <row r="226" ht="14.25" customHeight="1">
      <c r="A226" s="45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</row>
    <row r="227" ht="14.25" customHeight="1">
      <c r="A227" s="45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</row>
    <row r="228" ht="14.25" customHeight="1">
      <c r="A228" s="45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</row>
    <row r="229" ht="14.25" customHeight="1">
      <c r="A229" s="45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</row>
    <row r="230" ht="14.25" customHeight="1">
      <c r="A230" s="45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</row>
    <row r="231" ht="14.25" customHeight="1">
      <c r="A231" s="45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</row>
    <row r="232" ht="14.25" customHeight="1">
      <c r="A232" s="45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</row>
    <row r="233" ht="14.25" customHeight="1">
      <c r="A233" s="45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</row>
    <row r="234" ht="14.25" customHeight="1">
      <c r="A234" s="45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</row>
    <row r="235" ht="14.25" customHeight="1">
      <c r="A235" s="45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</row>
    <row r="236" ht="14.25" customHeight="1">
      <c r="A236" s="45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</row>
    <row r="237" ht="14.25" customHeight="1">
      <c r="A237" s="45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</row>
    <row r="238" ht="14.25" customHeight="1">
      <c r="A238" s="45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</row>
    <row r="239" ht="14.25" customHeight="1">
      <c r="A239" s="45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</row>
    <row r="240" ht="14.25" customHeight="1">
      <c r="A240" s="45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</row>
    <row r="241" ht="14.25" customHeight="1">
      <c r="A241" s="45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</row>
    <row r="242" ht="14.25" customHeight="1">
      <c r="A242" s="45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</row>
    <row r="243" ht="14.25" customHeight="1">
      <c r="A243" s="45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</row>
    <row r="244" ht="14.25" customHeight="1">
      <c r="A244" s="45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</row>
    <row r="245" ht="14.25" customHeight="1">
      <c r="A245" s="45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</row>
    <row r="246" ht="14.25" customHeight="1">
      <c r="A246" s="45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</row>
    <row r="247" ht="14.25" customHeight="1">
      <c r="A247" s="4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</row>
    <row r="248" ht="14.25" customHeight="1">
      <c r="A248" s="45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</row>
    <row r="249" ht="14.25" customHeight="1">
      <c r="A249" s="45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</row>
    <row r="250" ht="14.25" customHeight="1">
      <c r="A250" s="45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</row>
    <row r="251" ht="14.25" customHeight="1">
      <c r="A251" s="45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</row>
    <row r="252" ht="14.25" customHeight="1">
      <c r="A252" s="45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</row>
    <row r="253" ht="14.25" customHeight="1">
      <c r="A253" s="45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</row>
    <row r="254" ht="14.25" customHeight="1">
      <c r="A254" s="45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</row>
    <row r="255" ht="14.25" customHeight="1">
      <c r="A255" s="45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</row>
    <row r="256" ht="14.25" customHeight="1">
      <c r="A256" s="45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</row>
    <row r="257" ht="14.25" customHeight="1">
      <c r="A257" s="45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</row>
    <row r="258" ht="14.25" customHeight="1">
      <c r="A258" s="45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</row>
    <row r="259" ht="14.25" customHeight="1">
      <c r="A259" s="45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</row>
    <row r="260" ht="14.25" customHeight="1">
      <c r="A260" s="45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</row>
    <row r="261" ht="14.25" customHeight="1">
      <c r="A261" s="45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</row>
    <row r="262" ht="14.25" customHeight="1">
      <c r="A262" s="45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</row>
    <row r="263" ht="14.25" customHeight="1">
      <c r="A263" s="45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</row>
    <row r="264" ht="14.25" customHeight="1">
      <c r="A264" s="45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</row>
    <row r="265" ht="14.25" customHeight="1">
      <c r="A265" s="4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</row>
    <row r="266" ht="14.25" customHeight="1">
      <c r="A266" s="45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</row>
    <row r="267" ht="14.25" customHeight="1">
      <c r="A267" s="45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</row>
    <row r="268" ht="14.25" customHeight="1">
      <c r="A268" s="45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</row>
    <row r="269" ht="14.25" customHeight="1">
      <c r="A269" s="45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</row>
    <row r="270" ht="14.25" customHeight="1">
      <c r="A270" s="45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</row>
    <row r="271" ht="14.25" customHeight="1">
      <c r="A271" s="45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</row>
    <row r="272" ht="14.25" customHeight="1">
      <c r="A272" s="45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</row>
    <row r="273" ht="14.25" customHeight="1">
      <c r="A273" s="45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</row>
    <row r="274" ht="14.25" customHeight="1">
      <c r="A274" s="45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</row>
    <row r="275" ht="14.25" customHeight="1">
      <c r="A275" s="45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</row>
    <row r="276" ht="14.25" customHeight="1">
      <c r="A276" s="45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</row>
    <row r="277" ht="14.25" customHeight="1">
      <c r="A277" s="4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</row>
    <row r="278" ht="14.25" customHeight="1">
      <c r="A278" s="4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</row>
    <row r="279" ht="14.25" customHeight="1">
      <c r="A279" s="4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</row>
    <row r="280" ht="14.25" customHeight="1">
      <c r="A280" s="45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</row>
    <row r="281" ht="14.25" customHeight="1">
      <c r="A281" s="45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</row>
    <row r="282" ht="14.25" customHeight="1">
      <c r="A282" s="45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</row>
    <row r="283" ht="14.25" customHeight="1">
      <c r="A283" s="45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</row>
    <row r="284" ht="14.25" customHeight="1">
      <c r="A284" s="45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</row>
    <row r="285" ht="14.25" customHeight="1">
      <c r="A285" s="45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</row>
    <row r="286" ht="14.25" customHeight="1">
      <c r="A286" s="45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</row>
    <row r="287" ht="14.25" customHeight="1">
      <c r="A287" s="4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</row>
    <row r="288" ht="14.25" customHeight="1">
      <c r="A288" s="45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</row>
    <row r="289" ht="14.25" customHeight="1">
      <c r="A289" s="45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</row>
    <row r="290" ht="14.25" customHeight="1">
      <c r="A290" s="45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</row>
    <row r="291" ht="14.25" customHeight="1">
      <c r="A291" s="45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</row>
    <row r="292" ht="14.25" customHeight="1">
      <c r="A292" s="4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</row>
    <row r="293" ht="14.25" customHeight="1">
      <c r="A293" s="4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</row>
    <row r="294" ht="14.25" customHeight="1">
      <c r="A294" s="4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</row>
    <row r="295" ht="14.25" customHeight="1">
      <c r="A295" s="4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</row>
    <row r="296" ht="14.25" customHeight="1">
      <c r="A296" s="45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</row>
    <row r="297" ht="14.25" customHeight="1">
      <c r="A297" s="45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</row>
    <row r="298" ht="14.25" customHeight="1">
      <c r="A298" s="45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</row>
    <row r="299" ht="14.25" customHeight="1">
      <c r="A299" s="45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</row>
    <row r="300" ht="14.25" customHeight="1">
      <c r="A300" s="45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</row>
    <row r="301" ht="14.25" customHeight="1">
      <c r="A301" s="45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</row>
    <row r="302" ht="14.25" customHeight="1">
      <c r="A302" s="45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</row>
    <row r="303" ht="14.25" customHeight="1">
      <c r="A303" s="45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</row>
    <row r="304" ht="14.25" customHeight="1">
      <c r="A304" s="45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</row>
    <row r="305" ht="14.25" customHeight="1">
      <c r="A305" s="45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</row>
    <row r="306" ht="14.25" customHeight="1">
      <c r="A306" s="45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</row>
    <row r="307" ht="14.25" customHeight="1">
      <c r="A307" s="45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</row>
    <row r="308" ht="14.25" customHeight="1">
      <c r="A308" s="45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</row>
    <row r="309" ht="14.25" customHeight="1">
      <c r="A309" s="45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</row>
    <row r="310" ht="14.25" customHeight="1">
      <c r="A310" s="45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</row>
    <row r="311" ht="14.25" customHeight="1">
      <c r="A311" s="45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</row>
    <row r="312" ht="14.25" customHeight="1">
      <c r="A312" s="45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</row>
    <row r="313" ht="14.25" customHeight="1">
      <c r="A313" s="45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</row>
    <row r="314" ht="14.25" customHeight="1">
      <c r="A314" s="45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</row>
    <row r="315" ht="14.25" customHeight="1">
      <c r="A315" s="45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</row>
    <row r="316" ht="14.25" customHeight="1">
      <c r="A316" s="45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</row>
    <row r="317" ht="14.25" customHeight="1">
      <c r="A317" s="45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</row>
    <row r="318" ht="14.25" customHeight="1">
      <c r="A318" s="45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</row>
    <row r="319" ht="14.25" customHeight="1">
      <c r="A319" s="45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</row>
    <row r="320" ht="14.25" customHeight="1">
      <c r="A320" s="45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</row>
    <row r="321" ht="14.25" customHeight="1">
      <c r="A321" s="45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</row>
    <row r="322" ht="14.25" customHeight="1">
      <c r="A322" s="45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</row>
    <row r="323" ht="14.25" customHeight="1">
      <c r="A323" s="45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</row>
    <row r="324" ht="14.25" customHeight="1">
      <c r="A324" s="45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</row>
    <row r="325" ht="14.25" customHeight="1">
      <c r="A325" s="45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</row>
    <row r="326" ht="14.25" customHeight="1">
      <c r="A326" s="45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</row>
    <row r="327" ht="14.25" customHeight="1">
      <c r="A327" s="45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</row>
    <row r="328" ht="14.25" customHeight="1">
      <c r="A328" s="45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</row>
    <row r="329" ht="14.25" customHeight="1">
      <c r="A329" s="45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</row>
    <row r="330" ht="14.25" customHeight="1">
      <c r="A330" s="45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</row>
    <row r="331" ht="14.25" customHeight="1">
      <c r="A331" s="45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</row>
    <row r="332" ht="14.25" customHeight="1">
      <c r="A332" s="45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</row>
    <row r="333" ht="14.25" customHeight="1">
      <c r="A333" s="45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</row>
    <row r="334" ht="14.25" customHeight="1">
      <c r="A334" s="45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</row>
    <row r="335" ht="14.25" customHeight="1">
      <c r="A335" s="45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</row>
    <row r="336" ht="14.25" customHeight="1">
      <c r="A336" s="45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</row>
    <row r="337" ht="14.25" customHeight="1">
      <c r="A337" s="4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</row>
    <row r="338" ht="14.25" customHeight="1">
      <c r="A338" s="45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</row>
    <row r="339" ht="14.25" customHeight="1">
      <c r="A339" s="45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</row>
    <row r="340" ht="14.25" customHeight="1">
      <c r="A340" s="45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</row>
    <row r="341" ht="14.25" customHeight="1">
      <c r="A341" s="45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</row>
    <row r="342" ht="14.25" customHeight="1">
      <c r="A342" s="45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</row>
    <row r="343" ht="14.25" customHeight="1">
      <c r="A343" s="45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</row>
    <row r="344" ht="14.25" customHeight="1">
      <c r="A344" s="45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</row>
    <row r="345" ht="14.25" customHeight="1">
      <c r="A345" s="45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</row>
    <row r="346" ht="14.25" customHeight="1">
      <c r="A346" s="45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</row>
    <row r="347" ht="14.25" customHeight="1">
      <c r="A347" s="45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</row>
    <row r="348" ht="14.25" customHeight="1">
      <c r="A348" s="45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</row>
    <row r="349" ht="14.25" customHeight="1">
      <c r="A349" s="45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</row>
    <row r="350" ht="14.25" customHeight="1">
      <c r="A350" s="45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</row>
    <row r="351" ht="14.25" customHeight="1">
      <c r="A351" s="45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</row>
    <row r="352" ht="14.25" customHeight="1">
      <c r="A352" s="45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</row>
    <row r="353" ht="14.25" customHeight="1">
      <c r="A353" s="45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</row>
    <row r="354" ht="14.25" customHeight="1">
      <c r="A354" s="45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</row>
    <row r="355" ht="14.25" customHeight="1">
      <c r="A355" s="45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</row>
    <row r="356" ht="14.25" customHeight="1">
      <c r="A356" s="45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</row>
    <row r="357" ht="14.25" customHeight="1">
      <c r="A357" s="45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</row>
    <row r="358" ht="14.25" customHeight="1">
      <c r="A358" s="45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</row>
    <row r="359" ht="14.25" customHeight="1">
      <c r="A359" s="45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</row>
    <row r="360" ht="14.25" customHeight="1">
      <c r="A360" s="45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</row>
    <row r="361" ht="14.25" customHeight="1">
      <c r="A361" s="45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</row>
    <row r="362" ht="14.25" customHeight="1">
      <c r="A362" s="45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</row>
    <row r="363" ht="14.25" customHeight="1">
      <c r="A363" s="45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</row>
    <row r="364" ht="14.25" customHeight="1">
      <c r="A364" s="45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</row>
    <row r="365" ht="14.25" customHeight="1">
      <c r="A365" s="45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</row>
    <row r="366" ht="14.25" customHeight="1">
      <c r="A366" s="45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</row>
    <row r="367" ht="14.25" customHeight="1">
      <c r="A367" s="45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</row>
    <row r="368" ht="14.25" customHeight="1">
      <c r="A368" s="45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</row>
    <row r="369" ht="14.25" customHeight="1">
      <c r="A369" s="45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</row>
    <row r="370" ht="14.25" customHeight="1">
      <c r="A370" s="45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</row>
    <row r="371" ht="14.25" customHeight="1">
      <c r="A371" s="45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</row>
    <row r="372" ht="14.25" customHeight="1">
      <c r="A372" s="45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</row>
    <row r="373" ht="14.25" customHeight="1">
      <c r="A373" s="45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</row>
    <row r="374" ht="14.25" customHeight="1">
      <c r="A374" s="45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</row>
    <row r="375" ht="14.25" customHeight="1">
      <c r="A375" s="45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</row>
    <row r="376" ht="14.25" customHeight="1">
      <c r="A376" s="45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</row>
    <row r="377" ht="14.25" customHeight="1">
      <c r="A377" s="45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</row>
    <row r="378" ht="14.25" customHeight="1">
      <c r="A378" s="45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</row>
    <row r="379" ht="14.25" customHeight="1">
      <c r="A379" s="45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</row>
    <row r="380" ht="14.25" customHeight="1">
      <c r="A380" s="45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</row>
    <row r="381" ht="14.25" customHeight="1">
      <c r="A381" s="45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</row>
    <row r="382" ht="14.25" customHeight="1">
      <c r="A382" s="45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</row>
    <row r="383" ht="14.25" customHeight="1">
      <c r="A383" s="45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</row>
    <row r="384" ht="14.25" customHeight="1">
      <c r="A384" s="45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</row>
    <row r="385" ht="14.25" customHeight="1">
      <c r="A385" s="45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</row>
    <row r="386" ht="14.25" customHeight="1">
      <c r="A386" s="45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</row>
    <row r="387" ht="14.25" customHeight="1">
      <c r="A387" s="45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</row>
    <row r="388" ht="14.25" customHeight="1">
      <c r="A388" s="45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</row>
    <row r="389" ht="14.25" customHeight="1">
      <c r="A389" s="45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</row>
    <row r="390" ht="14.25" customHeight="1">
      <c r="A390" s="45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</row>
    <row r="391" ht="14.25" customHeight="1">
      <c r="A391" s="45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</row>
    <row r="392" ht="14.25" customHeight="1">
      <c r="A392" s="45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</row>
    <row r="393" ht="14.25" customHeight="1">
      <c r="A393" s="45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</row>
    <row r="394" ht="14.25" customHeight="1">
      <c r="A394" s="45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</row>
    <row r="395" ht="14.25" customHeight="1">
      <c r="A395" s="45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</row>
    <row r="396" ht="14.25" customHeight="1">
      <c r="A396" s="45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</row>
    <row r="397" ht="14.25" customHeight="1">
      <c r="A397" s="45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</row>
    <row r="398" ht="14.25" customHeight="1">
      <c r="A398" s="45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</row>
    <row r="399" ht="14.25" customHeight="1">
      <c r="A399" s="45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</row>
    <row r="400" ht="14.25" customHeight="1">
      <c r="A400" s="45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</row>
    <row r="401" ht="14.25" customHeight="1">
      <c r="A401" s="45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</row>
    <row r="402" ht="14.25" customHeight="1">
      <c r="A402" s="45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</row>
    <row r="403" ht="14.25" customHeight="1">
      <c r="A403" s="45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</row>
    <row r="404" ht="14.25" customHeight="1">
      <c r="A404" s="45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</row>
    <row r="405" ht="14.25" customHeight="1">
      <c r="A405" s="45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</row>
    <row r="406" ht="14.25" customHeight="1">
      <c r="A406" s="4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</row>
    <row r="407" ht="14.25" customHeight="1">
      <c r="A407" s="4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</row>
    <row r="408" ht="14.25" customHeight="1">
      <c r="A408" s="45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</row>
    <row r="409" ht="14.25" customHeight="1">
      <c r="A409" s="45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</row>
    <row r="410" ht="14.25" customHeight="1">
      <c r="A410" s="45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</row>
    <row r="411" ht="14.25" customHeight="1">
      <c r="A411" s="45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</row>
    <row r="412" ht="14.25" customHeight="1">
      <c r="A412" s="45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</row>
    <row r="413" ht="14.25" customHeight="1">
      <c r="A413" s="45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</row>
    <row r="414" ht="14.25" customHeight="1">
      <c r="A414" s="45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</row>
    <row r="415" ht="14.25" customHeight="1">
      <c r="A415" s="45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</row>
    <row r="416" ht="14.25" customHeight="1">
      <c r="A416" s="45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</row>
    <row r="417" ht="14.25" customHeight="1">
      <c r="A417" s="45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</row>
    <row r="418" ht="14.25" customHeight="1">
      <c r="A418" s="45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</row>
    <row r="419" ht="14.25" customHeight="1">
      <c r="A419" s="45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</row>
    <row r="420" ht="14.25" customHeight="1">
      <c r="A420" s="45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</row>
    <row r="421" ht="14.25" customHeight="1">
      <c r="A421" s="45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</row>
    <row r="422" ht="14.25" customHeight="1">
      <c r="A422" s="4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</row>
    <row r="423" ht="14.25" customHeight="1">
      <c r="A423" s="4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</row>
    <row r="424" ht="14.25" customHeight="1">
      <c r="A424" s="45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</row>
    <row r="425" ht="14.25" customHeight="1">
      <c r="A425" s="45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</row>
    <row r="426" ht="14.25" customHeight="1">
      <c r="A426" s="45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</row>
    <row r="427" ht="14.25" customHeight="1">
      <c r="A427" s="45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</row>
    <row r="428" ht="14.25" customHeight="1">
      <c r="A428" s="45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</row>
    <row r="429" ht="14.25" customHeight="1">
      <c r="A429" s="45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</row>
    <row r="430" ht="14.25" customHeight="1">
      <c r="A430" s="45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</row>
    <row r="431" ht="14.25" customHeight="1">
      <c r="A431" s="45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</row>
    <row r="432" ht="14.25" customHeight="1">
      <c r="A432" s="45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</row>
    <row r="433" ht="14.25" customHeight="1">
      <c r="A433" s="45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</row>
    <row r="434" ht="14.25" customHeight="1">
      <c r="A434" s="45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</row>
    <row r="435" ht="14.25" customHeight="1">
      <c r="A435" s="45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</row>
    <row r="436" ht="14.25" customHeight="1">
      <c r="A436" s="45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</row>
    <row r="437" ht="14.25" customHeight="1">
      <c r="A437" s="45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</row>
    <row r="438" ht="14.25" customHeight="1">
      <c r="A438" s="45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</row>
    <row r="439" ht="14.25" customHeight="1">
      <c r="A439" s="45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</row>
    <row r="440" ht="14.25" customHeight="1">
      <c r="A440" s="45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</row>
    <row r="441" ht="14.25" customHeight="1">
      <c r="A441" s="45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</row>
    <row r="442" ht="14.25" customHeight="1">
      <c r="A442" s="45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</row>
    <row r="443" ht="14.25" customHeight="1">
      <c r="A443" s="45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</row>
    <row r="444" ht="14.25" customHeight="1">
      <c r="A444" s="45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</row>
    <row r="445" ht="14.25" customHeight="1">
      <c r="A445" s="45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</row>
    <row r="446" ht="14.25" customHeight="1">
      <c r="A446" s="45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</row>
    <row r="447" ht="14.25" customHeight="1">
      <c r="A447" s="45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</row>
    <row r="448" ht="14.25" customHeight="1">
      <c r="A448" s="45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</row>
    <row r="449" ht="14.25" customHeight="1">
      <c r="A449" s="45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</row>
    <row r="450" ht="14.25" customHeight="1">
      <c r="A450" s="45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</row>
    <row r="451" ht="14.25" customHeight="1">
      <c r="A451" s="45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</row>
    <row r="452" ht="14.25" customHeight="1">
      <c r="A452" s="45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</row>
    <row r="453" ht="14.25" customHeight="1">
      <c r="A453" s="45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</row>
    <row r="454" ht="14.25" customHeight="1">
      <c r="A454" s="45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</row>
    <row r="455" ht="14.25" customHeight="1">
      <c r="A455" s="45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</row>
    <row r="456" ht="14.25" customHeight="1">
      <c r="A456" s="45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</row>
    <row r="457" ht="14.25" customHeight="1">
      <c r="A457" s="45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</row>
    <row r="458" ht="14.25" customHeight="1">
      <c r="A458" s="45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</row>
    <row r="459" ht="14.25" customHeight="1">
      <c r="A459" s="45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</row>
    <row r="460" ht="14.25" customHeight="1">
      <c r="A460" s="45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</row>
    <row r="461" ht="14.25" customHeight="1">
      <c r="A461" s="45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</row>
    <row r="462" ht="14.25" customHeight="1">
      <c r="A462" s="45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</row>
    <row r="463" ht="14.25" customHeight="1">
      <c r="A463" s="45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</row>
    <row r="464" ht="14.25" customHeight="1">
      <c r="A464" s="45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</row>
    <row r="465" ht="14.25" customHeight="1">
      <c r="A465" s="45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</row>
    <row r="466" ht="14.25" customHeight="1">
      <c r="A466" s="45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</row>
    <row r="467" ht="14.25" customHeight="1">
      <c r="A467" s="45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</row>
    <row r="468" ht="14.25" customHeight="1">
      <c r="A468" s="45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</row>
    <row r="469" ht="14.25" customHeight="1">
      <c r="A469" s="45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</row>
    <row r="470" ht="14.25" customHeight="1">
      <c r="A470" s="45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</row>
    <row r="471" ht="14.25" customHeight="1">
      <c r="A471" s="45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</row>
    <row r="472" ht="14.25" customHeight="1">
      <c r="A472" s="45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</row>
    <row r="473" ht="14.25" customHeight="1">
      <c r="A473" s="45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</row>
    <row r="474" ht="14.25" customHeight="1">
      <c r="A474" s="45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</row>
    <row r="475" ht="14.25" customHeight="1">
      <c r="A475" s="45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</row>
    <row r="476" ht="14.25" customHeight="1">
      <c r="A476" s="45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</row>
    <row r="477" ht="14.25" customHeight="1">
      <c r="A477" s="45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</row>
    <row r="478" ht="14.25" customHeight="1">
      <c r="A478" s="45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</row>
    <row r="479" ht="14.25" customHeight="1">
      <c r="A479" s="45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</row>
    <row r="480" ht="14.25" customHeight="1">
      <c r="A480" s="45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</row>
    <row r="481" ht="14.25" customHeight="1">
      <c r="A481" s="45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</row>
    <row r="482" ht="14.25" customHeight="1">
      <c r="A482" s="45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</row>
    <row r="483" ht="14.25" customHeight="1">
      <c r="A483" s="45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</row>
    <row r="484" ht="14.25" customHeight="1">
      <c r="A484" s="45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</row>
    <row r="485" ht="14.25" customHeight="1">
      <c r="A485" s="45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</row>
    <row r="486" ht="14.25" customHeight="1">
      <c r="A486" s="45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</row>
    <row r="487" ht="14.25" customHeight="1">
      <c r="A487" s="45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</row>
    <row r="488" ht="14.25" customHeight="1">
      <c r="A488" s="45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</row>
    <row r="489" ht="14.25" customHeight="1">
      <c r="A489" s="45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</row>
    <row r="490" ht="14.25" customHeight="1">
      <c r="A490" s="45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</row>
    <row r="491" ht="14.25" customHeight="1">
      <c r="A491" s="45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</row>
    <row r="492" ht="14.25" customHeight="1">
      <c r="A492" s="45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</row>
    <row r="493" ht="14.25" customHeight="1">
      <c r="A493" s="45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</row>
    <row r="494" ht="14.25" customHeight="1">
      <c r="A494" s="45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</row>
    <row r="495" ht="14.25" customHeight="1">
      <c r="A495" s="45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</row>
    <row r="496" ht="14.25" customHeight="1">
      <c r="A496" s="45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</row>
    <row r="497" ht="14.25" customHeight="1">
      <c r="A497" s="45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</row>
    <row r="498" ht="14.25" customHeight="1">
      <c r="A498" s="45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</row>
    <row r="499" ht="14.25" customHeight="1">
      <c r="A499" s="45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</row>
    <row r="500" ht="14.25" customHeight="1">
      <c r="A500" s="45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</row>
    <row r="501" ht="14.25" customHeight="1">
      <c r="A501" s="45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</row>
    <row r="502" ht="14.25" customHeight="1">
      <c r="A502" s="45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</row>
    <row r="503" ht="14.25" customHeight="1">
      <c r="A503" s="45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</row>
    <row r="504" ht="14.25" customHeight="1">
      <c r="A504" s="45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</row>
    <row r="505" ht="14.25" customHeight="1">
      <c r="A505" s="45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</row>
    <row r="506" ht="14.25" customHeight="1">
      <c r="A506" s="45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</row>
    <row r="507" ht="14.25" customHeight="1">
      <c r="A507" s="45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</row>
    <row r="508" ht="14.25" customHeight="1">
      <c r="A508" s="45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</row>
    <row r="509" ht="14.25" customHeight="1">
      <c r="A509" s="45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</row>
    <row r="510" ht="14.25" customHeight="1">
      <c r="A510" s="45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</row>
    <row r="511" ht="14.25" customHeight="1">
      <c r="A511" s="45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</row>
    <row r="512" ht="14.25" customHeight="1">
      <c r="A512" s="45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</row>
    <row r="513" ht="14.25" customHeight="1">
      <c r="A513" s="45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</row>
    <row r="514" ht="14.25" customHeight="1">
      <c r="A514" s="45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</row>
    <row r="515" ht="14.25" customHeight="1">
      <c r="A515" s="45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</row>
    <row r="516" ht="14.25" customHeight="1">
      <c r="A516" s="45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</row>
    <row r="517" ht="14.25" customHeight="1">
      <c r="A517" s="45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</row>
    <row r="518" ht="14.25" customHeight="1">
      <c r="A518" s="45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</row>
    <row r="519" ht="14.25" customHeight="1">
      <c r="A519" s="45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</row>
    <row r="520" ht="14.25" customHeight="1">
      <c r="A520" s="45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</row>
    <row r="521" ht="14.25" customHeight="1">
      <c r="A521" s="45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</row>
    <row r="522" ht="14.25" customHeight="1">
      <c r="A522" s="45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</row>
    <row r="523" ht="14.25" customHeight="1">
      <c r="A523" s="45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</row>
    <row r="524" ht="14.25" customHeight="1">
      <c r="A524" s="45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</row>
    <row r="525" ht="14.25" customHeight="1">
      <c r="A525" s="45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</row>
    <row r="526" ht="14.25" customHeight="1">
      <c r="A526" s="45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</row>
    <row r="527" ht="14.25" customHeight="1">
      <c r="A527" s="45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</row>
    <row r="528" ht="14.25" customHeight="1">
      <c r="A528" s="45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</row>
    <row r="529" ht="14.25" customHeight="1">
      <c r="A529" s="45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</row>
    <row r="530" ht="14.25" customHeight="1">
      <c r="A530" s="45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</row>
    <row r="531" ht="14.25" customHeight="1">
      <c r="A531" s="45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</row>
    <row r="532" ht="14.25" customHeight="1">
      <c r="A532" s="45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</row>
    <row r="533" ht="14.25" customHeight="1">
      <c r="A533" s="45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</row>
    <row r="534" ht="14.25" customHeight="1">
      <c r="A534" s="45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</row>
    <row r="535" ht="14.25" customHeight="1">
      <c r="A535" s="45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</row>
    <row r="536" ht="14.25" customHeight="1">
      <c r="A536" s="45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</row>
    <row r="537" ht="14.25" customHeight="1">
      <c r="A537" s="45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</row>
    <row r="538" ht="14.25" customHeight="1">
      <c r="A538" s="45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</row>
    <row r="539" ht="14.25" customHeight="1">
      <c r="A539" s="45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</row>
    <row r="540" ht="14.25" customHeight="1">
      <c r="A540" s="45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</row>
    <row r="541" ht="14.25" customHeight="1">
      <c r="A541" s="45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</row>
    <row r="542" ht="14.25" customHeight="1">
      <c r="A542" s="45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</row>
    <row r="543" ht="14.25" customHeight="1">
      <c r="A543" s="45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</row>
    <row r="544" ht="14.25" customHeight="1">
      <c r="A544" s="45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</row>
    <row r="545" ht="14.25" customHeight="1">
      <c r="A545" s="45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</row>
    <row r="546" ht="14.25" customHeight="1">
      <c r="A546" s="45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</row>
    <row r="547" ht="14.25" customHeight="1">
      <c r="A547" s="45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</row>
    <row r="548" ht="14.25" customHeight="1">
      <c r="A548" s="45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</row>
    <row r="549" ht="14.25" customHeight="1">
      <c r="A549" s="45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</row>
    <row r="550" ht="14.25" customHeight="1">
      <c r="A550" s="45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</row>
    <row r="551" ht="14.25" customHeight="1">
      <c r="A551" s="45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</row>
    <row r="552" ht="14.25" customHeight="1">
      <c r="A552" s="45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</row>
    <row r="553" ht="14.25" customHeight="1">
      <c r="A553" s="45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</row>
    <row r="554" ht="14.25" customHeight="1">
      <c r="A554" s="45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</row>
    <row r="555" ht="14.25" customHeight="1">
      <c r="A555" s="45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</row>
    <row r="556" ht="14.25" customHeight="1">
      <c r="A556" s="45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</row>
    <row r="557" ht="14.25" customHeight="1">
      <c r="A557" s="45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</row>
    <row r="558" ht="14.25" customHeight="1">
      <c r="A558" s="45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</row>
    <row r="559" ht="14.25" customHeight="1">
      <c r="A559" s="45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</row>
    <row r="560" ht="14.25" customHeight="1">
      <c r="A560" s="45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</row>
    <row r="561" ht="14.25" customHeight="1">
      <c r="A561" s="45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</row>
    <row r="562" ht="14.25" customHeight="1">
      <c r="A562" s="45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</row>
    <row r="563" ht="14.25" customHeight="1">
      <c r="A563" s="45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</row>
    <row r="564" ht="14.25" customHeight="1">
      <c r="A564" s="45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</row>
    <row r="565" ht="14.25" customHeight="1">
      <c r="A565" s="45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</row>
    <row r="566" ht="14.25" customHeight="1">
      <c r="A566" s="45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</row>
    <row r="567" ht="14.25" customHeight="1">
      <c r="A567" s="45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</row>
    <row r="568" ht="14.25" customHeight="1">
      <c r="A568" s="45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</row>
    <row r="569" ht="14.25" customHeight="1">
      <c r="A569" s="45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</row>
    <row r="570" ht="14.25" customHeight="1">
      <c r="A570" s="45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</row>
    <row r="571" ht="14.25" customHeight="1">
      <c r="A571" s="45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</row>
    <row r="572" ht="14.25" customHeight="1">
      <c r="A572" s="45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</row>
    <row r="573" ht="14.25" customHeight="1">
      <c r="A573" s="45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</row>
    <row r="574" ht="14.25" customHeight="1">
      <c r="A574" s="45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</row>
    <row r="575" ht="14.25" customHeight="1">
      <c r="A575" s="45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</row>
    <row r="576" ht="14.25" customHeight="1">
      <c r="A576" s="45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</row>
    <row r="577" ht="14.25" customHeight="1">
      <c r="A577" s="45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</row>
    <row r="578" ht="14.25" customHeight="1">
      <c r="A578" s="45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</row>
    <row r="579" ht="14.25" customHeight="1">
      <c r="A579" s="45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</row>
    <row r="580" ht="14.25" customHeight="1">
      <c r="A580" s="45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</row>
    <row r="581" ht="14.25" customHeight="1">
      <c r="A581" s="45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</row>
    <row r="582" ht="14.25" customHeight="1">
      <c r="A582" s="45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</row>
    <row r="583" ht="14.25" customHeight="1">
      <c r="A583" s="45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</row>
    <row r="584" ht="14.25" customHeight="1">
      <c r="A584" s="45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</row>
    <row r="585" ht="14.25" customHeight="1">
      <c r="A585" s="45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</row>
    <row r="586" ht="14.25" customHeight="1">
      <c r="A586" s="45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</row>
    <row r="587" ht="14.25" customHeight="1">
      <c r="A587" s="45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</row>
    <row r="588" ht="14.25" customHeight="1">
      <c r="A588" s="45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</row>
    <row r="589" ht="14.25" customHeight="1">
      <c r="A589" s="45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</row>
    <row r="590" ht="14.25" customHeight="1">
      <c r="A590" s="45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</row>
    <row r="591" ht="14.25" customHeight="1">
      <c r="A591" s="45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</row>
    <row r="592" ht="14.25" customHeight="1">
      <c r="A592" s="45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</row>
    <row r="593" ht="14.25" customHeight="1">
      <c r="A593" s="45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</row>
    <row r="594" ht="14.25" customHeight="1">
      <c r="A594" s="45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</row>
    <row r="595" ht="14.25" customHeight="1">
      <c r="A595" s="45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</row>
    <row r="596" ht="14.25" customHeight="1">
      <c r="A596" s="45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</row>
    <row r="597" ht="14.25" customHeight="1">
      <c r="A597" s="45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</row>
    <row r="598" ht="14.25" customHeight="1">
      <c r="A598" s="45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</row>
    <row r="599" ht="14.25" customHeight="1">
      <c r="A599" s="45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</row>
    <row r="600" ht="14.25" customHeight="1">
      <c r="A600" s="45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</row>
    <row r="601" ht="14.25" customHeight="1">
      <c r="A601" s="45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</row>
    <row r="602" ht="14.25" customHeight="1">
      <c r="A602" s="45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</row>
    <row r="603" ht="14.25" customHeight="1">
      <c r="A603" s="45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</row>
    <row r="604" ht="14.25" customHeight="1">
      <c r="A604" s="45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</row>
    <row r="605" ht="14.25" customHeight="1">
      <c r="A605" s="45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</row>
    <row r="606" ht="14.25" customHeight="1">
      <c r="A606" s="45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</row>
    <row r="607" ht="14.25" customHeight="1">
      <c r="A607" s="45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</row>
    <row r="608" ht="14.25" customHeight="1">
      <c r="A608" s="45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</row>
    <row r="609" ht="14.25" customHeight="1">
      <c r="A609" s="45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</row>
    <row r="610" ht="14.25" customHeight="1">
      <c r="A610" s="45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</row>
    <row r="611" ht="14.25" customHeight="1">
      <c r="A611" s="45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</row>
    <row r="612" ht="14.25" customHeight="1">
      <c r="A612" s="45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</row>
    <row r="613" ht="14.25" customHeight="1">
      <c r="A613" s="45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</row>
    <row r="614" ht="14.25" customHeight="1">
      <c r="A614" s="45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</row>
    <row r="615" ht="14.25" customHeight="1">
      <c r="A615" s="45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</row>
    <row r="616" ht="14.25" customHeight="1">
      <c r="A616" s="45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</row>
    <row r="617" ht="14.25" customHeight="1">
      <c r="A617" s="45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</row>
    <row r="618" ht="14.25" customHeight="1">
      <c r="A618" s="45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</row>
    <row r="619" ht="14.25" customHeight="1">
      <c r="A619" s="45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</row>
    <row r="620" ht="14.25" customHeight="1">
      <c r="A620" s="45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</row>
    <row r="621" ht="14.25" customHeight="1">
      <c r="A621" s="45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</row>
    <row r="622" ht="14.25" customHeight="1">
      <c r="A622" s="45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</row>
    <row r="623" ht="14.25" customHeight="1">
      <c r="A623" s="45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</row>
    <row r="624" ht="14.25" customHeight="1">
      <c r="A624" s="45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</row>
    <row r="625" ht="14.25" customHeight="1">
      <c r="A625" s="45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</row>
    <row r="626" ht="14.25" customHeight="1">
      <c r="A626" s="45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</row>
    <row r="627" ht="14.25" customHeight="1">
      <c r="A627" s="45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</row>
    <row r="628" ht="14.25" customHeight="1">
      <c r="A628" s="45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</row>
    <row r="629" ht="14.25" customHeight="1">
      <c r="A629" s="45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</row>
    <row r="630" ht="14.25" customHeight="1">
      <c r="A630" s="45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</row>
    <row r="631" ht="14.25" customHeight="1">
      <c r="A631" s="45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</row>
    <row r="632" ht="14.25" customHeight="1">
      <c r="A632" s="45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</row>
    <row r="633" ht="14.25" customHeight="1">
      <c r="A633" s="45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</row>
    <row r="634" ht="14.25" customHeight="1">
      <c r="A634" s="45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</row>
    <row r="635" ht="14.25" customHeight="1">
      <c r="A635" s="45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</row>
    <row r="636" ht="14.25" customHeight="1">
      <c r="A636" s="45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</row>
    <row r="637" ht="14.25" customHeight="1">
      <c r="A637" s="45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</row>
    <row r="638" ht="14.25" customHeight="1">
      <c r="A638" s="45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</row>
    <row r="639" ht="14.25" customHeight="1">
      <c r="A639" s="45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</row>
    <row r="640" ht="14.25" customHeight="1">
      <c r="A640" s="45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</row>
    <row r="641" ht="14.25" customHeight="1">
      <c r="A641" s="45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</row>
    <row r="642" ht="14.25" customHeight="1">
      <c r="A642" s="45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</row>
    <row r="643" ht="14.25" customHeight="1">
      <c r="A643" s="45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</row>
    <row r="644" ht="14.25" customHeight="1">
      <c r="A644" s="45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</row>
    <row r="645" ht="14.25" customHeight="1">
      <c r="A645" s="45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</row>
    <row r="646" ht="14.25" customHeight="1">
      <c r="A646" s="4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</row>
    <row r="647" ht="14.25" customHeight="1">
      <c r="A647" s="45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</row>
    <row r="648" ht="14.25" customHeight="1">
      <c r="A648" s="45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</row>
    <row r="649" ht="14.25" customHeight="1">
      <c r="A649" s="45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</row>
    <row r="650" ht="14.25" customHeight="1">
      <c r="A650" s="45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</row>
    <row r="651" ht="14.25" customHeight="1">
      <c r="A651" s="45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</row>
    <row r="652" ht="14.25" customHeight="1">
      <c r="A652" s="45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</row>
    <row r="653" ht="14.25" customHeight="1">
      <c r="A653" s="45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</row>
    <row r="654" ht="14.25" customHeight="1">
      <c r="A654" s="45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</row>
    <row r="655" ht="14.25" customHeight="1">
      <c r="A655" s="45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</row>
    <row r="656" ht="14.25" customHeight="1">
      <c r="A656" s="45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</row>
    <row r="657" ht="14.25" customHeight="1">
      <c r="A657" s="45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</row>
    <row r="658" ht="14.25" customHeight="1">
      <c r="A658" s="45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</row>
    <row r="659" ht="14.25" customHeight="1">
      <c r="A659" s="45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</row>
    <row r="660" ht="14.25" customHeight="1">
      <c r="A660" s="45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</row>
    <row r="661" ht="14.25" customHeight="1">
      <c r="A661" s="45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</row>
    <row r="662" ht="14.25" customHeight="1">
      <c r="A662" s="45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</row>
    <row r="663" ht="14.25" customHeight="1">
      <c r="A663" s="45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</row>
    <row r="664" ht="14.25" customHeight="1">
      <c r="A664" s="45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</row>
    <row r="665" ht="14.25" customHeight="1">
      <c r="A665" s="45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</row>
    <row r="666" ht="14.25" customHeight="1">
      <c r="A666" s="45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</row>
    <row r="667" ht="14.25" customHeight="1">
      <c r="A667" s="45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</row>
    <row r="668" ht="14.25" customHeight="1">
      <c r="A668" s="45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</row>
    <row r="669" ht="14.25" customHeight="1">
      <c r="A669" s="45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</row>
    <row r="670" ht="14.25" customHeight="1">
      <c r="A670" s="45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</row>
    <row r="671" ht="14.25" customHeight="1">
      <c r="A671" s="45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</row>
    <row r="672" ht="14.25" customHeight="1">
      <c r="A672" s="45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</row>
    <row r="673" ht="14.25" customHeight="1">
      <c r="A673" s="45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</row>
    <row r="674" ht="14.25" customHeight="1">
      <c r="A674" s="45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</row>
    <row r="675" ht="14.25" customHeight="1">
      <c r="A675" s="45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</row>
    <row r="676" ht="14.25" customHeight="1">
      <c r="A676" s="45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</row>
    <row r="677" ht="14.25" customHeight="1">
      <c r="A677" s="45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</row>
    <row r="678" ht="14.25" customHeight="1">
      <c r="A678" s="45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</row>
    <row r="679" ht="14.25" customHeight="1">
      <c r="A679" s="45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</row>
    <row r="680" ht="14.25" customHeight="1">
      <c r="A680" s="45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</row>
    <row r="681" ht="14.25" customHeight="1">
      <c r="A681" s="45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</row>
    <row r="682" ht="14.25" customHeight="1">
      <c r="A682" s="45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</row>
    <row r="683" ht="14.25" customHeight="1">
      <c r="A683" s="45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</row>
    <row r="684" ht="14.25" customHeight="1">
      <c r="A684" s="45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</row>
    <row r="685" ht="14.25" customHeight="1">
      <c r="A685" s="45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</row>
    <row r="686" ht="14.25" customHeight="1">
      <c r="A686" s="45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</row>
    <row r="687" ht="14.25" customHeight="1">
      <c r="A687" s="45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</row>
    <row r="688" ht="14.25" customHeight="1">
      <c r="A688" s="45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</row>
    <row r="689" ht="14.25" customHeight="1">
      <c r="A689" s="45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</row>
    <row r="690" ht="14.25" customHeight="1">
      <c r="A690" s="45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</row>
    <row r="691" ht="14.25" customHeight="1">
      <c r="A691" s="45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</row>
    <row r="692" ht="14.25" customHeight="1">
      <c r="A692" s="45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</row>
    <row r="693" ht="14.25" customHeight="1">
      <c r="A693" s="45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</row>
    <row r="694" ht="14.25" customHeight="1">
      <c r="A694" s="45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</row>
    <row r="695" ht="14.25" customHeight="1">
      <c r="A695" s="45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</row>
    <row r="696" ht="14.25" customHeight="1">
      <c r="A696" s="45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</row>
    <row r="697" ht="14.25" customHeight="1">
      <c r="A697" s="45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</row>
    <row r="698" ht="14.25" customHeight="1">
      <c r="A698" s="45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</row>
    <row r="699" ht="14.25" customHeight="1">
      <c r="A699" s="45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</row>
    <row r="700" ht="14.25" customHeight="1">
      <c r="A700" s="45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</row>
    <row r="701" ht="14.25" customHeight="1">
      <c r="A701" s="45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</row>
    <row r="702" ht="14.25" customHeight="1">
      <c r="A702" s="45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</row>
    <row r="703" ht="14.25" customHeight="1">
      <c r="A703" s="45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</row>
    <row r="704" ht="14.25" customHeight="1">
      <c r="A704" s="45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</row>
    <row r="705" ht="14.25" customHeight="1">
      <c r="A705" s="45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</row>
    <row r="706" ht="14.25" customHeight="1">
      <c r="A706" s="45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</row>
    <row r="707" ht="14.25" customHeight="1">
      <c r="A707" s="45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</row>
    <row r="708" ht="14.25" customHeight="1">
      <c r="A708" s="45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</row>
    <row r="709" ht="14.25" customHeight="1">
      <c r="A709" s="45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</row>
    <row r="710" ht="14.25" customHeight="1">
      <c r="A710" s="45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</row>
    <row r="711" ht="14.25" customHeight="1">
      <c r="A711" s="45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</row>
    <row r="712" ht="14.25" customHeight="1">
      <c r="A712" s="45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</row>
    <row r="713" ht="14.25" customHeight="1">
      <c r="A713" s="45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</row>
    <row r="714" ht="14.25" customHeight="1">
      <c r="A714" s="45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</row>
    <row r="715" ht="14.25" customHeight="1">
      <c r="A715" s="45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</row>
    <row r="716" ht="14.25" customHeight="1">
      <c r="A716" s="45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</row>
    <row r="717" ht="14.25" customHeight="1">
      <c r="A717" s="45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</row>
    <row r="718" ht="14.25" customHeight="1">
      <c r="A718" s="45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</row>
    <row r="719" ht="14.25" customHeight="1">
      <c r="A719" s="45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</row>
    <row r="720" ht="14.25" customHeight="1">
      <c r="A720" s="45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</row>
    <row r="721" ht="14.25" customHeight="1">
      <c r="A721" s="45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</row>
    <row r="722" ht="14.25" customHeight="1">
      <c r="A722" s="45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</row>
    <row r="723" ht="14.25" customHeight="1">
      <c r="A723" s="45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</row>
    <row r="724" ht="14.25" customHeight="1">
      <c r="A724" s="45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</row>
    <row r="725" ht="14.25" customHeight="1">
      <c r="A725" s="45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</row>
    <row r="726" ht="14.25" customHeight="1">
      <c r="A726" s="45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</row>
    <row r="727" ht="14.25" customHeight="1">
      <c r="A727" s="45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</row>
    <row r="728" ht="14.25" customHeight="1">
      <c r="A728" s="45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</row>
    <row r="729" ht="14.25" customHeight="1">
      <c r="A729" s="45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</row>
    <row r="730" ht="14.25" customHeight="1">
      <c r="A730" s="45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</row>
    <row r="731" ht="14.25" customHeight="1">
      <c r="A731" s="45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</row>
    <row r="732" ht="14.25" customHeight="1">
      <c r="A732" s="45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</row>
    <row r="733" ht="14.25" customHeight="1">
      <c r="A733" s="45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</row>
    <row r="734" ht="14.25" customHeight="1">
      <c r="A734" s="45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</row>
    <row r="735" ht="14.25" customHeight="1">
      <c r="A735" s="45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</row>
    <row r="736" ht="14.25" customHeight="1">
      <c r="A736" s="45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</row>
    <row r="737" ht="14.25" customHeight="1">
      <c r="A737" s="45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</row>
    <row r="738" ht="14.25" customHeight="1">
      <c r="A738" s="45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</row>
    <row r="739" ht="14.25" customHeight="1">
      <c r="A739" s="45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</row>
    <row r="740" ht="14.25" customHeight="1">
      <c r="A740" s="45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</row>
    <row r="741" ht="14.25" customHeight="1">
      <c r="A741" s="45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</row>
    <row r="742" ht="14.25" customHeight="1">
      <c r="A742" s="45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</row>
    <row r="743" ht="14.25" customHeight="1">
      <c r="A743" s="45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</row>
    <row r="744" ht="14.25" customHeight="1">
      <c r="A744" s="45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</row>
    <row r="745" ht="14.25" customHeight="1">
      <c r="A745" s="45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</row>
    <row r="746" ht="14.25" customHeight="1">
      <c r="A746" s="45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</row>
    <row r="747" ht="14.25" customHeight="1">
      <c r="A747" s="45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</row>
    <row r="748" ht="14.25" customHeight="1">
      <c r="A748" s="45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</row>
    <row r="749" ht="14.25" customHeight="1">
      <c r="A749" s="45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</row>
    <row r="750" ht="14.25" customHeight="1">
      <c r="A750" s="45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</row>
    <row r="751" ht="14.25" customHeight="1">
      <c r="A751" s="45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</row>
    <row r="752" ht="14.25" customHeight="1">
      <c r="A752" s="45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</row>
    <row r="753" ht="14.25" customHeight="1">
      <c r="A753" s="45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</row>
    <row r="754" ht="14.25" customHeight="1">
      <c r="A754" s="45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</row>
    <row r="755" ht="14.25" customHeight="1">
      <c r="A755" s="45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</row>
    <row r="756" ht="14.25" customHeight="1">
      <c r="A756" s="45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</row>
    <row r="757" ht="14.25" customHeight="1">
      <c r="A757" s="45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</row>
    <row r="758" ht="14.25" customHeight="1">
      <c r="A758" s="45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</row>
    <row r="759" ht="14.25" customHeight="1">
      <c r="A759" s="45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</row>
    <row r="760" ht="14.25" customHeight="1">
      <c r="A760" s="45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</row>
    <row r="761" ht="14.25" customHeight="1">
      <c r="A761" s="45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</row>
    <row r="762" ht="14.25" customHeight="1">
      <c r="A762" s="45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</row>
    <row r="763" ht="14.25" customHeight="1">
      <c r="A763" s="45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</row>
    <row r="764" ht="14.25" customHeight="1">
      <c r="A764" s="45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</row>
    <row r="765" ht="14.25" customHeight="1">
      <c r="A765" s="45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</row>
    <row r="766" ht="14.25" customHeight="1">
      <c r="A766" s="45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</row>
    <row r="767" ht="14.25" customHeight="1">
      <c r="A767" s="45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</row>
    <row r="768" ht="14.25" customHeight="1">
      <c r="A768" s="45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</row>
    <row r="769" ht="14.25" customHeight="1">
      <c r="A769" s="45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</row>
    <row r="770" ht="14.25" customHeight="1">
      <c r="A770" s="45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</row>
    <row r="771" ht="14.25" customHeight="1">
      <c r="A771" s="45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</row>
    <row r="772" ht="14.25" customHeight="1">
      <c r="A772" s="45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</row>
    <row r="773" ht="14.25" customHeight="1">
      <c r="A773" s="45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</row>
    <row r="774" ht="14.25" customHeight="1">
      <c r="A774" s="45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</row>
    <row r="775" ht="14.25" customHeight="1">
      <c r="A775" s="45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</row>
    <row r="776" ht="14.25" customHeight="1">
      <c r="A776" s="45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</row>
    <row r="777" ht="14.25" customHeight="1">
      <c r="A777" s="45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</row>
    <row r="778" ht="14.25" customHeight="1">
      <c r="A778" s="45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</row>
    <row r="779" ht="14.25" customHeight="1">
      <c r="A779" s="45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</row>
    <row r="780" ht="14.25" customHeight="1">
      <c r="A780" s="45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</row>
    <row r="781" ht="14.25" customHeight="1">
      <c r="A781" s="45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</row>
    <row r="782" ht="14.25" customHeight="1">
      <c r="A782" s="45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</row>
    <row r="783" ht="14.25" customHeight="1">
      <c r="A783" s="45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</row>
    <row r="784" ht="14.25" customHeight="1">
      <c r="A784" s="45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</row>
    <row r="785" ht="14.25" customHeight="1">
      <c r="A785" s="45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</row>
    <row r="786" ht="14.25" customHeight="1">
      <c r="A786" s="45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</row>
    <row r="787" ht="14.25" customHeight="1">
      <c r="A787" s="45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</row>
    <row r="788" ht="14.25" customHeight="1">
      <c r="A788" s="45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</row>
    <row r="789" ht="14.25" customHeight="1">
      <c r="A789" s="45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</row>
    <row r="790" ht="14.25" customHeight="1">
      <c r="A790" s="45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</row>
    <row r="791" ht="14.25" customHeight="1">
      <c r="A791" s="45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</row>
    <row r="792" ht="14.25" customHeight="1">
      <c r="A792" s="45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</row>
    <row r="793" ht="14.25" customHeight="1">
      <c r="A793" s="45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</row>
    <row r="794" ht="14.25" customHeight="1">
      <c r="A794" s="45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</row>
    <row r="795" ht="14.25" customHeight="1">
      <c r="A795" s="45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</row>
    <row r="796" ht="14.25" customHeight="1">
      <c r="A796" s="45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</row>
    <row r="797" ht="14.25" customHeight="1">
      <c r="A797" s="45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</row>
    <row r="798" ht="14.25" customHeight="1">
      <c r="A798" s="45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</row>
    <row r="799" ht="14.25" customHeight="1">
      <c r="A799" s="45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</row>
    <row r="800" ht="14.25" customHeight="1">
      <c r="A800" s="45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</row>
    <row r="801" ht="14.25" customHeight="1">
      <c r="A801" s="45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</row>
    <row r="802" ht="14.25" customHeight="1">
      <c r="A802" s="45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</row>
    <row r="803" ht="14.25" customHeight="1">
      <c r="A803" s="45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</row>
    <row r="804" ht="14.25" customHeight="1">
      <c r="A804" s="45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</row>
    <row r="805" ht="14.25" customHeight="1">
      <c r="A805" s="45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</row>
    <row r="806" ht="14.25" customHeight="1">
      <c r="A806" s="45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</row>
    <row r="807" ht="14.25" customHeight="1">
      <c r="A807" s="45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</row>
    <row r="808" ht="14.25" customHeight="1">
      <c r="A808" s="45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</row>
    <row r="809" ht="14.25" customHeight="1">
      <c r="A809" s="45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</row>
    <row r="810" ht="14.25" customHeight="1">
      <c r="A810" s="45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</row>
    <row r="811" ht="14.25" customHeight="1">
      <c r="A811" s="45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</row>
    <row r="812" ht="14.25" customHeight="1">
      <c r="A812" s="45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</row>
    <row r="813" ht="14.25" customHeight="1">
      <c r="A813" s="45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</row>
    <row r="814" ht="14.25" customHeight="1">
      <c r="A814" s="45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</row>
    <row r="815" ht="14.25" customHeight="1">
      <c r="A815" s="45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</row>
    <row r="816" ht="14.25" customHeight="1">
      <c r="A816" s="45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</row>
    <row r="817" ht="14.25" customHeight="1">
      <c r="A817" s="45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</row>
    <row r="818" ht="14.25" customHeight="1">
      <c r="A818" s="45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</row>
    <row r="819" ht="14.25" customHeight="1">
      <c r="A819" s="45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</row>
    <row r="820" ht="14.25" customHeight="1">
      <c r="A820" s="45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</row>
    <row r="821" ht="14.25" customHeight="1">
      <c r="A821" s="45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</row>
    <row r="822" ht="14.25" customHeight="1">
      <c r="A822" s="45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</row>
    <row r="823" ht="14.25" customHeight="1">
      <c r="A823" s="45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</row>
    <row r="824" ht="14.25" customHeight="1">
      <c r="A824" s="45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</row>
    <row r="825" ht="14.25" customHeight="1">
      <c r="A825" s="45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</row>
    <row r="826" ht="14.25" customHeight="1">
      <c r="A826" s="45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</row>
    <row r="827" ht="14.25" customHeight="1">
      <c r="A827" s="45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</row>
    <row r="828" ht="14.25" customHeight="1">
      <c r="A828" s="45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</row>
    <row r="829" ht="14.25" customHeight="1">
      <c r="A829" s="45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</row>
    <row r="830" ht="14.25" customHeight="1">
      <c r="A830" s="45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</row>
    <row r="831" ht="14.25" customHeight="1">
      <c r="A831" s="45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</row>
    <row r="832" ht="14.25" customHeight="1">
      <c r="A832" s="45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</row>
    <row r="833" ht="14.25" customHeight="1">
      <c r="A833" s="45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</row>
    <row r="834" ht="14.25" customHeight="1">
      <c r="A834" s="45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</row>
    <row r="835" ht="14.25" customHeight="1">
      <c r="A835" s="45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</row>
    <row r="836" ht="14.25" customHeight="1">
      <c r="A836" s="45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</row>
    <row r="837" ht="14.25" customHeight="1">
      <c r="A837" s="45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</row>
    <row r="838" ht="14.25" customHeight="1">
      <c r="A838" s="45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</row>
    <row r="839" ht="14.25" customHeight="1">
      <c r="A839" s="45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</row>
    <row r="840" ht="14.25" customHeight="1">
      <c r="A840" s="45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</row>
    <row r="841" ht="14.25" customHeight="1">
      <c r="A841" s="45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</row>
    <row r="842" ht="14.25" customHeight="1">
      <c r="A842" s="45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</row>
    <row r="843" ht="14.25" customHeight="1">
      <c r="A843" s="45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</row>
    <row r="844" ht="14.25" customHeight="1">
      <c r="A844" s="45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</row>
    <row r="845" ht="14.25" customHeight="1">
      <c r="A845" s="45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</row>
    <row r="846" ht="14.25" customHeight="1">
      <c r="A846" s="45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</row>
    <row r="847" ht="14.25" customHeight="1">
      <c r="A847" s="45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</row>
    <row r="848" ht="14.25" customHeight="1">
      <c r="A848" s="45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</row>
    <row r="849" ht="14.25" customHeight="1">
      <c r="A849" s="45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</row>
    <row r="850" ht="14.25" customHeight="1">
      <c r="A850" s="45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</row>
    <row r="851" ht="14.25" customHeight="1">
      <c r="A851" s="45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</row>
    <row r="852" ht="14.25" customHeight="1">
      <c r="A852" s="45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</row>
    <row r="853" ht="14.25" customHeight="1">
      <c r="A853" s="45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</row>
    <row r="854" ht="14.25" customHeight="1">
      <c r="A854" s="45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</row>
    <row r="855" ht="14.25" customHeight="1">
      <c r="A855" s="45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</row>
    <row r="856" ht="14.25" customHeight="1">
      <c r="A856" s="45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</row>
    <row r="857" ht="14.25" customHeight="1">
      <c r="A857" s="45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</row>
    <row r="858" ht="14.25" customHeight="1">
      <c r="A858" s="45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</row>
    <row r="859" ht="14.25" customHeight="1">
      <c r="A859" s="45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</row>
    <row r="860" ht="14.25" customHeight="1">
      <c r="A860" s="45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</row>
    <row r="861" ht="14.25" customHeight="1">
      <c r="A861" s="45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</row>
    <row r="862" ht="14.25" customHeight="1">
      <c r="A862" s="45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</row>
    <row r="863" ht="14.25" customHeight="1">
      <c r="A863" s="45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</row>
    <row r="864" ht="14.25" customHeight="1">
      <c r="A864" s="45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</row>
    <row r="865" ht="14.25" customHeight="1">
      <c r="A865" s="45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</row>
    <row r="866" ht="14.25" customHeight="1">
      <c r="A866" s="45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</row>
    <row r="867" ht="14.25" customHeight="1">
      <c r="A867" s="45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</row>
    <row r="868" ht="14.25" customHeight="1">
      <c r="A868" s="45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</row>
    <row r="869" ht="14.25" customHeight="1">
      <c r="A869" s="45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</row>
    <row r="870" ht="14.25" customHeight="1">
      <c r="A870" s="45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</row>
    <row r="871" ht="14.25" customHeight="1">
      <c r="A871" s="45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</row>
    <row r="872" ht="14.25" customHeight="1">
      <c r="A872" s="45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</row>
    <row r="873" ht="14.25" customHeight="1">
      <c r="A873" s="45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</row>
    <row r="874" ht="14.25" customHeight="1">
      <c r="A874" s="45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</row>
    <row r="875" ht="14.25" customHeight="1">
      <c r="A875" s="45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</row>
    <row r="876" ht="14.25" customHeight="1">
      <c r="A876" s="45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</row>
    <row r="877" ht="14.25" customHeight="1">
      <c r="A877" s="45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</row>
    <row r="878" ht="14.25" customHeight="1">
      <c r="A878" s="45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</row>
    <row r="879" ht="14.25" customHeight="1">
      <c r="A879" s="45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</row>
    <row r="880" ht="14.25" customHeight="1">
      <c r="A880" s="45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</row>
    <row r="881" ht="14.25" customHeight="1">
      <c r="A881" s="45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</row>
    <row r="882" ht="14.25" customHeight="1">
      <c r="A882" s="45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</row>
    <row r="883" ht="14.25" customHeight="1">
      <c r="A883" s="45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</row>
    <row r="884" ht="14.25" customHeight="1">
      <c r="A884" s="45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</row>
    <row r="885" ht="14.25" customHeight="1">
      <c r="A885" s="45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</row>
    <row r="886" ht="14.25" customHeight="1">
      <c r="A886" s="45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</row>
    <row r="887" ht="14.25" customHeight="1">
      <c r="A887" s="45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</row>
    <row r="888" ht="14.25" customHeight="1">
      <c r="A888" s="45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</row>
    <row r="889" ht="14.25" customHeight="1">
      <c r="A889" s="45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</row>
    <row r="890" ht="14.25" customHeight="1">
      <c r="A890" s="45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</row>
    <row r="891" ht="14.25" customHeight="1">
      <c r="A891" s="45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</row>
    <row r="892" ht="14.25" customHeight="1">
      <c r="A892" s="45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</row>
    <row r="893" ht="14.25" customHeight="1">
      <c r="A893" s="45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</row>
    <row r="894" ht="14.25" customHeight="1">
      <c r="A894" s="45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</row>
    <row r="895" ht="14.25" customHeight="1">
      <c r="A895" s="45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</row>
    <row r="896" ht="14.25" customHeight="1">
      <c r="A896" s="45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</row>
    <row r="897" ht="14.25" customHeight="1">
      <c r="A897" s="45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</row>
    <row r="898" ht="14.25" customHeight="1">
      <c r="A898" s="45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</row>
    <row r="899" ht="14.25" customHeight="1">
      <c r="A899" s="45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</row>
    <row r="900" ht="14.25" customHeight="1">
      <c r="A900" s="45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</row>
    <row r="901" ht="14.25" customHeight="1">
      <c r="A901" s="45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</row>
    <row r="902" ht="14.25" customHeight="1">
      <c r="A902" s="45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</row>
    <row r="903" ht="14.25" customHeight="1">
      <c r="A903" s="45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</row>
    <row r="904" ht="14.25" customHeight="1">
      <c r="A904" s="45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</row>
    <row r="905" ht="14.25" customHeight="1">
      <c r="A905" s="45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</row>
    <row r="906" ht="14.25" customHeight="1">
      <c r="A906" s="45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</row>
    <row r="907" ht="14.25" customHeight="1">
      <c r="A907" s="45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</row>
    <row r="908" ht="14.25" customHeight="1">
      <c r="A908" s="45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</row>
    <row r="909" ht="14.25" customHeight="1">
      <c r="A909" s="45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</row>
    <row r="910" ht="14.25" customHeight="1">
      <c r="A910" s="45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</row>
    <row r="911" ht="14.25" customHeight="1">
      <c r="A911" s="45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</row>
    <row r="912" ht="14.25" customHeight="1">
      <c r="A912" s="45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</row>
    <row r="913" ht="14.25" customHeight="1">
      <c r="A913" s="45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</row>
    <row r="914" ht="14.25" customHeight="1">
      <c r="A914" s="45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</row>
    <row r="915" ht="14.25" customHeight="1">
      <c r="A915" s="45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</row>
    <row r="916" ht="14.25" customHeight="1">
      <c r="A916" s="45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</row>
    <row r="917" ht="14.25" customHeight="1">
      <c r="A917" s="45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</row>
    <row r="918" ht="14.25" customHeight="1">
      <c r="A918" s="45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</row>
    <row r="919" ht="14.25" customHeight="1">
      <c r="A919" s="45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</row>
    <row r="920" ht="14.25" customHeight="1">
      <c r="A920" s="45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</row>
    <row r="921" ht="14.25" customHeight="1">
      <c r="A921" s="45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</row>
    <row r="922" ht="14.25" customHeight="1">
      <c r="A922" s="45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</row>
    <row r="923" ht="14.25" customHeight="1">
      <c r="A923" s="45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</row>
    <row r="924" ht="14.25" customHeight="1">
      <c r="A924" s="45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</row>
    <row r="925" ht="14.25" customHeight="1">
      <c r="A925" s="45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</row>
    <row r="926" ht="14.25" customHeight="1">
      <c r="A926" s="45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</row>
    <row r="927" ht="14.25" customHeight="1">
      <c r="A927" s="45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</row>
    <row r="928" ht="14.25" customHeight="1">
      <c r="A928" s="45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</row>
    <row r="929" ht="14.25" customHeight="1">
      <c r="A929" s="45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</row>
    <row r="930" ht="14.25" customHeight="1">
      <c r="A930" s="45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</row>
    <row r="931" ht="14.25" customHeight="1">
      <c r="A931" s="45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</row>
    <row r="932" ht="14.25" customHeight="1">
      <c r="A932" s="45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</row>
    <row r="933" ht="14.25" customHeight="1">
      <c r="A933" s="45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</row>
    <row r="934" ht="14.25" customHeight="1">
      <c r="A934" s="45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</row>
    <row r="935" ht="14.25" customHeight="1">
      <c r="A935" s="45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</row>
    <row r="936" ht="14.25" customHeight="1">
      <c r="A936" s="45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</row>
    <row r="937" ht="14.25" customHeight="1">
      <c r="A937" s="45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</row>
    <row r="938" ht="14.25" customHeight="1">
      <c r="A938" s="45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</row>
    <row r="939" ht="14.25" customHeight="1">
      <c r="A939" s="45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</row>
    <row r="940" ht="14.25" customHeight="1">
      <c r="A940" s="45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</row>
    <row r="941" ht="14.25" customHeight="1">
      <c r="A941" s="45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</row>
    <row r="942" ht="14.25" customHeight="1">
      <c r="A942" s="45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</row>
    <row r="943" ht="14.25" customHeight="1">
      <c r="A943" s="45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</row>
    <row r="944" ht="14.25" customHeight="1">
      <c r="A944" s="45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</row>
    <row r="945" ht="14.25" customHeight="1">
      <c r="A945" s="45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</row>
    <row r="946" ht="14.25" customHeight="1">
      <c r="A946" s="45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</row>
    <row r="947" ht="14.25" customHeight="1">
      <c r="A947" s="45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</row>
    <row r="948" ht="14.25" customHeight="1">
      <c r="A948" s="45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</row>
    <row r="949" ht="14.25" customHeight="1">
      <c r="A949" s="45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</row>
    <row r="950" ht="14.25" customHeight="1">
      <c r="A950" s="45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</row>
    <row r="951" ht="14.25" customHeight="1">
      <c r="A951" s="45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</row>
    <row r="952" ht="14.25" customHeight="1">
      <c r="A952" s="45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</row>
    <row r="953" ht="14.25" customHeight="1">
      <c r="A953" s="45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</row>
    <row r="954" ht="14.25" customHeight="1">
      <c r="A954" s="45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</row>
    <row r="955" ht="14.25" customHeight="1">
      <c r="A955" s="45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</row>
    <row r="956" ht="14.25" customHeight="1">
      <c r="A956" s="45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</row>
    <row r="957" ht="14.25" customHeight="1">
      <c r="A957" s="45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</row>
    <row r="958" ht="14.25" customHeight="1">
      <c r="A958" s="45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</row>
    <row r="959" ht="14.25" customHeight="1">
      <c r="A959" s="45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</row>
    <row r="960" ht="14.25" customHeight="1">
      <c r="A960" s="45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</row>
    <row r="961" ht="14.25" customHeight="1">
      <c r="A961" s="45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</row>
    <row r="962" ht="14.25" customHeight="1">
      <c r="A962" s="45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</row>
    <row r="963" ht="14.25" customHeight="1">
      <c r="A963" s="45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</row>
    <row r="964" ht="14.25" customHeight="1">
      <c r="A964" s="45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</row>
    <row r="965" ht="14.25" customHeight="1">
      <c r="A965" s="45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</row>
    <row r="966" ht="14.25" customHeight="1">
      <c r="A966" s="45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</row>
    <row r="967" ht="14.25" customHeight="1">
      <c r="A967" s="45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</row>
    <row r="968" ht="14.25" customHeight="1">
      <c r="A968" s="45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</row>
    <row r="969" ht="14.25" customHeight="1">
      <c r="A969" s="45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</row>
    <row r="970" ht="14.25" customHeight="1">
      <c r="A970" s="45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</row>
    <row r="971" ht="14.25" customHeight="1">
      <c r="A971" s="45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</row>
    <row r="972" ht="14.25" customHeight="1">
      <c r="A972" s="45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</row>
    <row r="973" ht="14.25" customHeight="1">
      <c r="A973" s="45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</row>
    <row r="974" ht="14.25" customHeight="1">
      <c r="A974" s="45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</row>
    <row r="975" ht="14.25" customHeight="1">
      <c r="A975" s="45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</row>
    <row r="976" ht="14.25" customHeight="1">
      <c r="A976" s="45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</row>
    <row r="977" ht="14.25" customHeight="1">
      <c r="A977" s="45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</row>
    <row r="978" ht="14.25" customHeight="1">
      <c r="A978" s="45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</row>
    <row r="979" ht="14.25" customHeight="1">
      <c r="A979" s="45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</row>
    <row r="980" ht="14.25" customHeight="1">
      <c r="A980" s="45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48" t="s">
        <v>3</v>
      </c>
      <c r="B1" s="49"/>
      <c r="C1" s="49"/>
      <c r="D1" s="49"/>
      <c r="E1" s="50"/>
    </row>
    <row r="2" ht="14.25" customHeight="1">
      <c r="A2" s="51"/>
      <c r="B2" s="52">
        <v>2021.0</v>
      </c>
      <c r="C2" s="52">
        <v>2022.0</v>
      </c>
      <c r="D2" s="52">
        <v>2023.0</v>
      </c>
      <c r="E2" s="53">
        <v>2024.0</v>
      </c>
    </row>
    <row r="3" ht="14.25" customHeight="1">
      <c r="A3" s="54" t="s">
        <v>32</v>
      </c>
      <c r="B3" s="55">
        <v>7.5539904E7</v>
      </c>
      <c r="C3" s="55">
        <v>6.171330550000001E7</v>
      </c>
      <c r="D3" s="55">
        <v>5.75353625E7</v>
      </c>
      <c r="E3" s="56">
        <v>5.54779225E7</v>
      </c>
    </row>
    <row r="4" ht="14.25" customHeight="1">
      <c r="A4" s="57">
        <v>2021.0</v>
      </c>
      <c r="B4" s="55">
        <v>1.3186955649999999E8</v>
      </c>
      <c r="C4" s="55">
        <v>5.2597105E7</v>
      </c>
      <c r="D4" s="55">
        <v>4.5025838E7</v>
      </c>
      <c r="E4" s="56">
        <v>4.1006845E7</v>
      </c>
    </row>
    <row r="5" ht="14.25" customHeight="1">
      <c r="A5" s="57">
        <v>2022.0</v>
      </c>
      <c r="B5" s="55">
        <v>0.0</v>
      </c>
      <c r="C5" s="55">
        <v>1.061519525E8</v>
      </c>
      <c r="D5" s="55">
        <v>4.0414088E7</v>
      </c>
      <c r="E5" s="56">
        <v>3.1974173E7</v>
      </c>
    </row>
    <row r="6" ht="14.25" customHeight="1">
      <c r="A6" s="57">
        <v>2023.0</v>
      </c>
      <c r="B6" s="55">
        <v>0.0</v>
      </c>
      <c r="C6" s="55">
        <v>0.0</v>
      </c>
      <c r="D6" s="55">
        <v>1.2317463399999999E8</v>
      </c>
      <c r="E6" s="56">
        <v>4.4414436E7</v>
      </c>
    </row>
    <row r="7" ht="14.25" customHeight="1">
      <c r="A7" s="57">
        <v>2024.0</v>
      </c>
      <c r="B7" s="55">
        <v>0.0</v>
      </c>
      <c r="C7" s="55">
        <v>0.0</v>
      </c>
      <c r="D7" s="55">
        <v>0.0</v>
      </c>
      <c r="E7" s="56">
        <v>1.527273275E8</v>
      </c>
    </row>
    <row r="8" ht="14.25" customHeight="1">
      <c r="A8" s="51"/>
      <c r="B8" s="58"/>
      <c r="C8" s="58"/>
      <c r="D8" s="58"/>
      <c r="E8" s="59"/>
    </row>
    <row r="9" ht="14.25" customHeight="1">
      <c r="A9" s="60" t="s">
        <v>4</v>
      </c>
      <c r="B9" s="58"/>
      <c r="C9" s="58"/>
      <c r="D9" s="58"/>
      <c r="E9" s="59"/>
    </row>
    <row r="10" ht="14.25" customHeight="1">
      <c r="A10" s="51"/>
      <c r="B10" s="52">
        <v>2021.0</v>
      </c>
      <c r="C10" s="52">
        <v>2022.0</v>
      </c>
      <c r="D10" s="52">
        <v>2023.0</v>
      </c>
      <c r="E10" s="53">
        <v>2024.0</v>
      </c>
    </row>
    <row r="11" ht="14.25" customHeight="1">
      <c r="A11" s="54" t="s">
        <v>32</v>
      </c>
      <c r="B11" s="55">
        <v>3.74877415E7</v>
      </c>
      <c r="C11" s="55">
        <v>3.0335338E7</v>
      </c>
      <c r="D11" s="55">
        <v>2.74854745E7</v>
      </c>
      <c r="E11" s="56">
        <v>2.6831497E7</v>
      </c>
    </row>
    <row r="12" ht="14.25" customHeight="1">
      <c r="A12" s="57">
        <v>2021.0</v>
      </c>
      <c r="B12" s="55">
        <v>6.6061534E7</v>
      </c>
      <c r="C12" s="55">
        <v>2.5603149E7</v>
      </c>
      <c r="D12" s="55">
        <v>2.12661185E7</v>
      </c>
      <c r="E12" s="56">
        <v>1.9554051E7</v>
      </c>
    </row>
    <row r="13" ht="14.25" customHeight="1">
      <c r="A13" s="57">
        <v>2022.0</v>
      </c>
      <c r="B13" s="55">
        <v>0.0</v>
      </c>
      <c r="C13" s="55">
        <v>5.19678335E7</v>
      </c>
      <c r="D13" s="55">
        <v>1.9015788E7</v>
      </c>
      <c r="E13" s="56">
        <v>1.52587985E7</v>
      </c>
    </row>
    <row r="14" ht="14.25" customHeight="1">
      <c r="A14" s="57">
        <v>2023.0</v>
      </c>
      <c r="B14" s="55">
        <v>0.0</v>
      </c>
      <c r="C14" s="55">
        <v>0.0</v>
      </c>
      <c r="D14" s="55">
        <v>5.9071749E7</v>
      </c>
      <c r="E14" s="56">
        <v>2.09702955E7</v>
      </c>
    </row>
    <row r="15" ht="14.25" customHeight="1">
      <c r="A15" s="57">
        <v>2024.0</v>
      </c>
      <c r="B15" s="55">
        <v>0.0</v>
      </c>
      <c r="C15" s="55">
        <v>0.0</v>
      </c>
      <c r="D15" s="55">
        <v>0.0</v>
      </c>
      <c r="E15" s="56">
        <v>7.3401526E7</v>
      </c>
    </row>
    <row r="16" ht="14.25" customHeight="1">
      <c r="A16" s="51"/>
      <c r="B16" s="58"/>
      <c r="C16" s="58"/>
      <c r="D16" s="58"/>
      <c r="E16" s="59"/>
    </row>
    <row r="17" ht="14.25" customHeight="1">
      <c r="A17" s="60" t="s">
        <v>1</v>
      </c>
      <c r="B17" s="58"/>
      <c r="C17" s="58"/>
      <c r="D17" s="58"/>
      <c r="E17" s="59"/>
    </row>
    <row r="18" ht="14.25" customHeight="1">
      <c r="A18" s="51"/>
      <c r="B18" s="52">
        <v>2021.0</v>
      </c>
      <c r="C18" s="52">
        <v>2022.0</v>
      </c>
      <c r="D18" s="52">
        <v>2023.0</v>
      </c>
      <c r="E18" s="53">
        <v>2024.0</v>
      </c>
    </row>
    <row r="19" ht="14.25" customHeight="1">
      <c r="A19" s="54" t="s">
        <v>32</v>
      </c>
      <c r="B19" s="55">
        <v>5751.0</v>
      </c>
      <c r="C19" s="55">
        <v>4636.0</v>
      </c>
      <c r="D19" s="55">
        <v>4233.0</v>
      </c>
      <c r="E19" s="56">
        <v>3921.0</v>
      </c>
    </row>
    <row r="20" ht="14.25" customHeight="1">
      <c r="A20" s="57">
        <v>2021.0</v>
      </c>
      <c r="B20" s="55">
        <v>14915.0</v>
      </c>
      <c r="C20" s="55">
        <v>4107.0</v>
      </c>
      <c r="D20" s="55">
        <v>3491.0</v>
      </c>
      <c r="E20" s="56">
        <v>3075.0</v>
      </c>
    </row>
    <row r="21" ht="14.25" customHeight="1">
      <c r="A21" s="57">
        <v>2022.0</v>
      </c>
      <c r="B21" s="55"/>
      <c r="C21" s="55">
        <v>12720.0</v>
      </c>
      <c r="D21" s="55">
        <v>3389.0</v>
      </c>
      <c r="E21" s="56">
        <v>2686.0</v>
      </c>
    </row>
    <row r="22" ht="14.25" customHeight="1">
      <c r="A22" s="57">
        <v>2023.0</v>
      </c>
      <c r="B22" s="55"/>
      <c r="C22" s="55"/>
      <c r="D22" s="55">
        <v>15166.0</v>
      </c>
      <c r="E22" s="56">
        <v>3799.0</v>
      </c>
    </row>
    <row r="23" ht="14.25" customHeight="1">
      <c r="A23" s="57">
        <v>2024.0</v>
      </c>
      <c r="B23" s="55"/>
      <c r="C23" s="55"/>
      <c r="D23" s="55"/>
      <c r="E23" s="56">
        <v>18316.0</v>
      </c>
    </row>
    <row r="24" ht="14.25" customHeight="1">
      <c r="A24" s="51"/>
      <c r="B24" s="58"/>
      <c r="C24" s="58"/>
      <c r="D24" s="58"/>
      <c r="E24" s="59"/>
    </row>
    <row r="25" ht="14.25" customHeight="1">
      <c r="A25" s="60" t="s">
        <v>2</v>
      </c>
      <c r="B25" s="58"/>
      <c r="C25" s="58"/>
      <c r="D25" s="58"/>
      <c r="E25" s="59"/>
    </row>
    <row r="26" ht="14.25" customHeight="1">
      <c r="A26" s="51"/>
      <c r="B26" s="52">
        <v>2021.0</v>
      </c>
      <c r="C26" s="52">
        <v>2022.0</v>
      </c>
      <c r="D26" s="52">
        <v>2023.0</v>
      </c>
      <c r="E26" s="53">
        <v>2024.0</v>
      </c>
    </row>
    <row r="27" ht="14.25" customHeight="1">
      <c r="A27" s="54" t="s">
        <v>32</v>
      </c>
      <c r="B27" s="55">
        <v>13739.0</v>
      </c>
      <c r="C27" s="55">
        <v>11475.0</v>
      </c>
      <c r="D27" s="55">
        <v>11331.0</v>
      </c>
      <c r="E27" s="56">
        <v>10581.0</v>
      </c>
    </row>
    <row r="28" ht="14.25" customHeight="1">
      <c r="A28" s="57">
        <v>2021.0</v>
      </c>
      <c r="B28" s="55">
        <v>22911.0</v>
      </c>
      <c r="C28" s="55">
        <v>10035.0</v>
      </c>
      <c r="D28" s="55">
        <v>9346.0</v>
      </c>
      <c r="E28" s="56">
        <v>8197.0</v>
      </c>
    </row>
    <row r="29" ht="14.25" customHeight="1">
      <c r="A29" s="57">
        <v>2022.0</v>
      </c>
      <c r="B29" s="55"/>
      <c r="C29" s="55">
        <v>18640.0</v>
      </c>
      <c r="D29" s="55">
        <v>7992.0</v>
      </c>
      <c r="E29" s="56">
        <v>6336.0</v>
      </c>
    </row>
    <row r="30" ht="14.25" customHeight="1">
      <c r="A30" s="57">
        <v>2023.0</v>
      </c>
      <c r="B30" s="55"/>
      <c r="C30" s="55"/>
      <c r="D30" s="55">
        <v>22735.0</v>
      </c>
      <c r="E30" s="56">
        <v>9002.0</v>
      </c>
    </row>
    <row r="31" ht="14.25" customHeight="1">
      <c r="A31" s="61">
        <v>2024.0</v>
      </c>
      <c r="B31" s="62"/>
      <c r="C31" s="62"/>
      <c r="D31" s="62"/>
      <c r="E31" s="63">
        <v>27144.0</v>
      </c>
    </row>
    <row r="32" ht="14.25" customHeight="1">
      <c r="A32" s="64" t="s">
        <v>33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